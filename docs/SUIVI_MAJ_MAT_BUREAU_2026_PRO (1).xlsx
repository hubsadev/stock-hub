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 N'DIA\Desktop\hub-erp\docs\"/>
    </mc:Choice>
  </mc:AlternateContent>
  <xr:revisionPtr revIDLastSave="0" documentId="8_{90438679-D3CC-4E56-AA80-08B2FFDBC39D}" xr6:coauthVersionLast="36" xr6:coauthVersionMax="36" xr10:uidLastSave="{00000000-0000-0000-0000-000000000000}"/>
  <bookViews>
    <workbookView xWindow="0" yWindow="0" windowWidth="20490" windowHeight="7425" firstSheet="1" activeTab="6" xr2:uid="{00000000-000D-0000-FFFF-FFFF00000000}"/>
  </bookViews>
  <sheets>
    <sheet name="Accueil" sheetId="1" r:id="rId1"/>
    <sheet name="Dashboard_Tracabilite" sheetId="2" r:id="rId2"/>
    <sheet name="Base_Articles" sheetId="3" r:id="rId3"/>
    <sheet name="Entrees" sheetId="4" r:id="rId4"/>
    <sheet name="Sorties" sheetId="5" r:id="rId5"/>
    <sheet name="Stock_TempsReel" sheetId="6" r:id="rId6"/>
    <sheet name="Equipements" sheetId="7" r:id="rId7"/>
    <sheet name="Projets" sheetId="8" r:id="rId8"/>
    <sheet name="Affectations" sheetId="9" r:id="rId9"/>
    <sheet name="Recherche_Materiel" sheetId="10" r:id="rId10"/>
    <sheet name="Alertes" sheetId="11" r:id="rId11"/>
    <sheet name="Alertes_Tracabilite" sheetId="12" r:id="rId12"/>
    <sheet name="Historique_Import_2026" sheetId="13" r:id="rId13"/>
    <sheet name="Parametres" sheetId="14" r:id="rId14"/>
  </sheets>
  <calcPr calcId="191029" iterateDelta="1E-4"/>
  <fileRecoveryPr dataExtractLoad="1"/>
</workbook>
</file>

<file path=xl/calcChain.xml><?xml version="1.0" encoding="utf-8"?>
<calcChain xmlns="http://schemas.openxmlformats.org/spreadsheetml/2006/main">
  <c r="E37" i="12" l="1"/>
  <c r="F37" i="12" s="1"/>
  <c r="D37" i="12"/>
  <c r="C37" i="12"/>
  <c r="B37" i="12"/>
  <c r="A37" i="12"/>
  <c r="E36" i="12"/>
  <c r="F36" i="12" s="1"/>
  <c r="D36" i="12"/>
  <c r="C36" i="12"/>
  <c r="B36" i="12"/>
  <c r="A36" i="12"/>
  <c r="E35" i="12"/>
  <c r="F35" i="12" s="1"/>
  <c r="D35" i="12"/>
  <c r="C35" i="12"/>
  <c r="B35" i="12"/>
  <c r="A35" i="12"/>
  <c r="E34" i="12"/>
  <c r="F34" i="12" s="1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E31" i="12"/>
  <c r="F31" i="12" s="1"/>
  <c r="D31" i="12"/>
  <c r="C31" i="12"/>
  <c r="B31" i="12"/>
  <c r="A31" i="12"/>
  <c r="E30" i="12"/>
  <c r="F30" i="12" s="1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E27" i="12"/>
  <c r="F27" i="12" s="1"/>
  <c r="D27" i="12"/>
  <c r="C27" i="12"/>
  <c r="B27" i="12"/>
  <c r="A27" i="12"/>
  <c r="E26" i="12"/>
  <c r="F26" i="12" s="1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E23" i="12"/>
  <c r="F23" i="12" s="1"/>
  <c r="D23" i="12"/>
  <c r="C23" i="12"/>
  <c r="B23" i="12"/>
  <c r="A23" i="12"/>
  <c r="E22" i="12"/>
  <c r="F22" i="12" s="1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E19" i="12"/>
  <c r="F19" i="12" s="1"/>
  <c r="D19" i="12"/>
  <c r="C19" i="12"/>
  <c r="B19" i="12"/>
  <c r="A19" i="12"/>
  <c r="E18" i="12"/>
  <c r="F18" i="12" s="1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E15" i="12"/>
  <c r="F15" i="12" s="1"/>
  <c r="D15" i="12"/>
  <c r="C15" i="12"/>
  <c r="B15" i="12"/>
  <c r="A15" i="12"/>
  <c r="E14" i="12"/>
  <c r="F14" i="12" s="1"/>
  <c r="D14" i="12"/>
  <c r="C14" i="12"/>
  <c r="B14" i="12"/>
  <c r="A14" i="12"/>
  <c r="F13" i="12"/>
  <c r="E13" i="12"/>
  <c r="D13" i="12"/>
  <c r="C13" i="12"/>
  <c r="B13" i="12"/>
  <c r="A13" i="12"/>
  <c r="I4" i="12"/>
  <c r="G4" i="12"/>
  <c r="E4" i="12"/>
  <c r="C4" i="12"/>
  <c r="A4" i="12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B15" i="10"/>
  <c r="B14" i="10"/>
  <c r="B13" i="10"/>
  <c r="B12" i="10"/>
  <c r="B11" i="10"/>
  <c r="B10" i="10"/>
  <c r="B9" i="10"/>
  <c r="B8" i="10"/>
  <c r="B7" i="10"/>
  <c r="B6" i="10"/>
  <c r="AH84" i="9"/>
  <c r="AF84" i="9"/>
  <c r="AE84" i="9"/>
  <c r="AD84" i="9"/>
  <c r="AC84" i="9"/>
  <c r="AB84" i="9"/>
  <c r="AG84" i="9" s="1"/>
  <c r="AA84" i="9"/>
  <c r="X84" i="9"/>
  <c r="R84" i="9"/>
  <c r="Q84" i="9"/>
  <c r="P84" i="9"/>
  <c r="K84" i="9"/>
  <c r="J84" i="9"/>
  <c r="I84" i="9"/>
  <c r="H84" i="9"/>
  <c r="G84" i="9"/>
  <c r="F84" i="9"/>
  <c r="E84" i="9"/>
  <c r="D84" i="9"/>
  <c r="A84" i="9"/>
  <c r="AH83" i="9"/>
  <c r="AE83" i="9"/>
  <c r="AD83" i="9"/>
  <c r="AC83" i="9"/>
  <c r="AB83" i="9"/>
  <c r="AG83" i="9" s="1"/>
  <c r="AA83" i="9"/>
  <c r="X83" i="9"/>
  <c r="R83" i="9"/>
  <c r="Q83" i="9"/>
  <c r="P83" i="9"/>
  <c r="K83" i="9"/>
  <c r="J83" i="9"/>
  <c r="I83" i="9"/>
  <c r="H83" i="9"/>
  <c r="G83" i="9"/>
  <c r="F83" i="9"/>
  <c r="E83" i="9"/>
  <c r="D83" i="9"/>
  <c r="A83" i="9"/>
  <c r="AH82" i="9"/>
  <c r="AG82" i="9"/>
  <c r="AF82" i="9"/>
  <c r="AE82" i="9"/>
  <c r="AD82" i="9"/>
  <c r="AC82" i="9"/>
  <c r="AB82" i="9"/>
  <c r="AA82" i="9"/>
  <c r="X82" i="9"/>
  <c r="R82" i="9"/>
  <c r="Q82" i="9"/>
  <c r="P82" i="9"/>
  <c r="K82" i="9"/>
  <c r="J82" i="9"/>
  <c r="I82" i="9"/>
  <c r="H82" i="9"/>
  <c r="G82" i="9"/>
  <c r="F82" i="9"/>
  <c r="E82" i="9"/>
  <c r="D82" i="9"/>
  <c r="A82" i="9"/>
  <c r="AH81" i="9"/>
  <c r="AG81" i="9"/>
  <c r="AF81" i="9"/>
  <c r="AE81" i="9"/>
  <c r="AD81" i="9"/>
  <c r="AC81" i="9"/>
  <c r="AB81" i="9"/>
  <c r="AA81" i="9"/>
  <c r="X81" i="9"/>
  <c r="R81" i="9"/>
  <c r="Q81" i="9"/>
  <c r="P81" i="9"/>
  <c r="K81" i="9"/>
  <c r="J81" i="9"/>
  <c r="I81" i="9"/>
  <c r="H81" i="9"/>
  <c r="G81" i="9"/>
  <c r="F81" i="9"/>
  <c r="E81" i="9"/>
  <c r="D81" i="9"/>
  <c r="A81" i="9"/>
  <c r="AH80" i="9"/>
  <c r="AF80" i="9"/>
  <c r="AE80" i="9"/>
  <c r="AD80" i="9"/>
  <c r="AC80" i="9"/>
  <c r="AB80" i="9"/>
  <c r="AG80" i="9" s="1"/>
  <c r="AA80" i="9"/>
  <c r="X80" i="9"/>
  <c r="R80" i="9"/>
  <c r="Q80" i="9"/>
  <c r="P80" i="9"/>
  <c r="K80" i="9"/>
  <c r="J80" i="9"/>
  <c r="I80" i="9"/>
  <c r="H80" i="9"/>
  <c r="G80" i="9"/>
  <c r="F80" i="9"/>
  <c r="E80" i="9"/>
  <c r="D80" i="9"/>
  <c r="A80" i="9"/>
  <c r="AH79" i="9"/>
  <c r="AG79" i="9"/>
  <c r="AF79" i="9"/>
  <c r="AE79" i="9"/>
  <c r="AD79" i="9"/>
  <c r="AC79" i="9"/>
  <c r="AB79" i="9"/>
  <c r="AA79" i="9"/>
  <c r="X79" i="9"/>
  <c r="R79" i="9"/>
  <c r="Q79" i="9"/>
  <c r="P79" i="9"/>
  <c r="K79" i="9"/>
  <c r="J79" i="9"/>
  <c r="I79" i="9"/>
  <c r="H79" i="9"/>
  <c r="G79" i="9"/>
  <c r="F79" i="9"/>
  <c r="E79" i="9"/>
  <c r="D79" i="9"/>
  <c r="A79" i="9"/>
  <c r="AH78" i="9"/>
  <c r="AE78" i="9"/>
  <c r="AD78" i="9"/>
  <c r="AC78" i="9"/>
  <c r="AB78" i="9"/>
  <c r="AG78" i="9" s="1"/>
  <c r="AA78" i="9"/>
  <c r="X78" i="9"/>
  <c r="R78" i="9"/>
  <c r="Q78" i="9"/>
  <c r="P78" i="9"/>
  <c r="K78" i="9"/>
  <c r="J78" i="9"/>
  <c r="I78" i="9"/>
  <c r="H78" i="9"/>
  <c r="G78" i="9"/>
  <c r="F78" i="9"/>
  <c r="E78" i="9"/>
  <c r="D78" i="9"/>
  <c r="A78" i="9"/>
  <c r="AH77" i="9"/>
  <c r="AG77" i="9"/>
  <c r="AE77" i="9"/>
  <c r="AD77" i="9"/>
  <c r="AC77" i="9"/>
  <c r="AB77" i="9"/>
  <c r="AF77" i="9" s="1"/>
  <c r="AA77" i="9"/>
  <c r="X77" i="9"/>
  <c r="R77" i="9"/>
  <c r="Q77" i="9"/>
  <c r="P77" i="9"/>
  <c r="K77" i="9"/>
  <c r="J77" i="9"/>
  <c r="I77" i="9"/>
  <c r="H77" i="9"/>
  <c r="G77" i="9"/>
  <c r="F77" i="9"/>
  <c r="E77" i="9"/>
  <c r="D77" i="9"/>
  <c r="A77" i="9"/>
  <c r="AH76" i="9"/>
  <c r="AE76" i="9"/>
  <c r="AD76" i="9"/>
  <c r="AC76" i="9"/>
  <c r="AB76" i="9"/>
  <c r="AG76" i="9" s="1"/>
  <c r="AA76" i="9"/>
  <c r="X76" i="9"/>
  <c r="R76" i="9"/>
  <c r="Q76" i="9"/>
  <c r="P76" i="9"/>
  <c r="K76" i="9"/>
  <c r="J76" i="9"/>
  <c r="I76" i="9"/>
  <c r="H76" i="9"/>
  <c r="G76" i="9"/>
  <c r="F76" i="9"/>
  <c r="E76" i="9"/>
  <c r="D76" i="9"/>
  <c r="A76" i="9"/>
  <c r="AH75" i="9"/>
  <c r="AE75" i="9"/>
  <c r="AD75" i="9"/>
  <c r="AC75" i="9"/>
  <c r="AB75" i="9"/>
  <c r="AG75" i="9" s="1"/>
  <c r="AA75" i="9"/>
  <c r="X75" i="9"/>
  <c r="R75" i="9"/>
  <c r="Q75" i="9"/>
  <c r="P75" i="9"/>
  <c r="K75" i="9"/>
  <c r="J75" i="9"/>
  <c r="I75" i="9"/>
  <c r="H75" i="9"/>
  <c r="G75" i="9"/>
  <c r="F75" i="9"/>
  <c r="E75" i="9"/>
  <c r="D75" i="9"/>
  <c r="A75" i="9"/>
  <c r="AH74" i="9"/>
  <c r="AG74" i="9"/>
  <c r="AF74" i="9"/>
  <c r="AE74" i="9"/>
  <c r="AD74" i="9"/>
  <c r="AC74" i="9"/>
  <c r="AB74" i="9"/>
  <c r="AA74" i="9"/>
  <c r="X74" i="9"/>
  <c r="R74" i="9"/>
  <c r="Q74" i="9"/>
  <c r="P74" i="9"/>
  <c r="K74" i="9"/>
  <c r="J74" i="9"/>
  <c r="I74" i="9"/>
  <c r="H74" i="9"/>
  <c r="G74" i="9"/>
  <c r="F74" i="9"/>
  <c r="E74" i="9"/>
  <c r="D74" i="9"/>
  <c r="A74" i="9"/>
  <c r="AH73" i="9"/>
  <c r="AG73" i="9"/>
  <c r="AF73" i="9"/>
  <c r="AE73" i="9"/>
  <c r="AD73" i="9"/>
  <c r="AC73" i="9"/>
  <c r="AB73" i="9"/>
  <c r="AA73" i="9"/>
  <c r="X73" i="9"/>
  <c r="R73" i="9"/>
  <c r="Q73" i="9"/>
  <c r="P73" i="9"/>
  <c r="K73" i="9"/>
  <c r="J73" i="9"/>
  <c r="I73" i="9"/>
  <c r="H73" i="9"/>
  <c r="G73" i="9"/>
  <c r="F73" i="9"/>
  <c r="E73" i="9"/>
  <c r="D73" i="9"/>
  <c r="A73" i="9"/>
  <c r="AH72" i="9"/>
  <c r="AF72" i="9"/>
  <c r="AE72" i="9"/>
  <c r="AD72" i="9"/>
  <c r="AC72" i="9"/>
  <c r="AB72" i="9"/>
  <c r="AG72" i="9" s="1"/>
  <c r="AA72" i="9"/>
  <c r="X72" i="9"/>
  <c r="R72" i="9"/>
  <c r="Q72" i="9"/>
  <c r="P72" i="9"/>
  <c r="K72" i="9"/>
  <c r="J72" i="9"/>
  <c r="I72" i="9"/>
  <c r="H72" i="9"/>
  <c r="G72" i="9"/>
  <c r="F72" i="9"/>
  <c r="E72" i="9"/>
  <c r="D72" i="9"/>
  <c r="A72" i="9"/>
  <c r="AH71" i="9"/>
  <c r="AG71" i="9"/>
  <c r="AF71" i="9"/>
  <c r="AE71" i="9"/>
  <c r="AD71" i="9"/>
  <c r="AC71" i="9"/>
  <c r="AB71" i="9"/>
  <c r="AA71" i="9"/>
  <c r="X71" i="9"/>
  <c r="R71" i="9"/>
  <c r="Q71" i="9"/>
  <c r="P71" i="9"/>
  <c r="K71" i="9"/>
  <c r="J71" i="9"/>
  <c r="I71" i="9"/>
  <c r="H71" i="9"/>
  <c r="G71" i="9"/>
  <c r="F71" i="9"/>
  <c r="E71" i="9"/>
  <c r="D71" i="9"/>
  <c r="A71" i="9"/>
  <c r="AH70" i="9"/>
  <c r="AE70" i="9"/>
  <c r="AD70" i="9"/>
  <c r="AC70" i="9"/>
  <c r="AB70" i="9"/>
  <c r="AG70" i="9" s="1"/>
  <c r="AA70" i="9"/>
  <c r="X70" i="9"/>
  <c r="R70" i="9"/>
  <c r="Q70" i="9"/>
  <c r="P70" i="9"/>
  <c r="K70" i="9"/>
  <c r="J70" i="9"/>
  <c r="I70" i="9"/>
  <c r="H70" i="9"/>
  <c r="G70" i="9"/>
  <c r="F70" i="9"/>
  <c r="E70" i="9"/>
  <c r="D70" i="9"/>
  <c r="A70" i="9"/>
  <c r="AH69" i="9"/>
  <c r="AG69" i="9"/>
  <c r="AE69" i="9"/>
  <c r="AD69" i="9"/>
  <c r="AC69" i="9"/>
  <c r="AB69" i="9"/>
  <c r="AF69" i="9" s="1"/>
  <c r="AA69" i="9"/>
  <c r="X69" i="9"/>
  <c r="R69" i="9"/>
  <c r="Q69" i="9"/>
  <c r="P69" i="9"/>
  <c r="K69" i="9"/>
  <c r="J69" i="9"/>
  <c r="I69" i="9"/>
  <c r="H69" i="9"/>
  <c r="G69" i="9"/>
  <c r="F69" i="9"/>
  <c r="E69" i="9"/>
  <c r="D69" i="9"/>
  <c r="A69" i="9"/>
  <c r="AH68" i="9"/>
  <c r="AE68" i="9"/>
  <c r="AD68" i="9"/>
  <c r="AC68" i="9"/>
  <c r="AB68" i="9"/>
  <c r="AG68" i="9" s="1"/>
  <c r="AA68" i="9"/>
  <c r="X68" i="9"/>
  <c r="R68" i="9"/>
  <c r="Q68" i="9"/>
  <c r="P68" i="9"/>
  <c r="K68" i="9"/>
  <c r="J68" i="9"/>
  <c r="I68" i="9"/>
  <c r="H68" i="9"/>
  <c r="G68" i="9"/>
  <c r="F68" i="9"/>
  <c r="E68" i="9"/>
  <c r="D68" i="9"/>
  <c r="A68" i="9"/>
  <c r="AH67" i="9"/>
  <c r="AE67" i="9"/>
  <c r="AD67" i="9"/>
  <c r="AC67" i="9"/>
  <c r="AB67" i="9"/>
  <c r="AG67" i="9" s="1"/>
  <c r="AA67" i="9"/>
  <c r="X67" i="9"/>
  <c r="R67" i="9"/>
  <c r="Q67" i="9"/>
  <c r="P67" i="9"/>
  <c r="K67" i="9"/>
  <c r="J67" i="9"/>
  <c r="I67" i="9"/>
  <c r="H67" i="9"/>
  <c r="G67" i="9"/>
  <c r="F67" i="9"/>
  <c r="E67" i="9"/>
  <c r="D67" i="9"/>
  <c r="A67" i="9"/>
  <c r="AH66" i="9"/>
  <c r="AG66" i="9"/>
  <c r="AF66" i="9"/>
  <c r="AE66" i="9"/>
  <c r="AD66" i="9"/>
  <c r="AC66" i="9"/>
  <c r="AB66" i="9"/>
  <c r="AA66" i="9"/>
  <c r="X66" i="9"/>
  <c r="R66" i="9"/>
  <c r="Q66" i="9"/>
  <c r="P66" i="9"/>
  <c r="K66" i="9"/>
  <c r="J66" i="9"/>
  <c r="I66" i="9"/>
  <c r="H66" i="9"/>
  <c r="G66" i="9"/>
  <c r="F66" i="9"/>
  <c r="E66" i="9"/>
  <c r="D66" i="9"/>
  <c r="A66" i="9"/>
  <c r="AH65" i="9"/>
  <c r="AG65" i="9"/>
  <c r="AF65" i="9"/>
  <c r="AE65" i="9"/>
  <c r="AD65" i="9"/>
  <c r="AC65" i="9"/>
  <c r="AB65" i="9"/>
  <c r="AA65" i="9"/>
  <c r="X65" i="9"/>
  <c r="R65" i="9"/>
  <c r="Q65" i="9"/>
  <c r="P65" i="9"/>
  <c r="K65" i="9"/>
  <c r="J65" i="9"/>
  <c r="I65" i="9"/>
  <c r="H65" i="9"/>
  <c r="G65" i="9"/>
  <c r="F65" i="9"/>
  <c r="E65" i="9"/>
  <c r="D65" i="9"/>
  <c r="A65" i="9"/>
  <c r="AH64" i="9"/>
  <c r="AF64" i="9"/>
  <c r="AE64" i="9"/>
  <c r="AD64" i="9"/>
  <c r="AC64" i="9"/>
  <c r="AB64" i="9"/>
  <c r="AG64" i="9" s="1"/>
  <c r="AA64" i="9"/>
  <c r="X64" i="9"/>
  <c r="R64" i="9"/>
  <c r="Q64" i="9"/>
  <c r="P64" i="9"/>
  <c r="K64" i="9"/>
  <c r="J64" i="9"/>
  <c r="I64" i="9"/>
  <c r="H64" i="9"/>
  <c r="G64" i="9"/>
  <c r="F64" i="9"/>
  <c r="E64" i="9"/>
  <c r="D64" i="9"/>
  <c r="A64" i="9"/>
  <c r="AH63" i="9"/>
  <c r="AF63" i="9"/>
  <c r="AE63" i="9"/>
  <c r="AD63" i="9"/>
  <c r="AC63" i="9"/>
  <c r="AB63" i="9"/>
  <c r="AG63" i="9" s="1"/>
  <c r="AA63" i="9"/>
  <c r="X63" i="9"/>
  <c r="R63" i="9"/>
  <c r="Q63" i="9"/>
  <c r="P63" i="9"/>
  <c r="K63" i="9"/>
  <c r="J63" i="9"/>
  <c r="I63" i="9"/>
  <c r="H63" i="9"/>
  <c r="G63" i="9"/>
  <c r="F63" i="9"/>
  <c r="E63" i="9"/>
  <c r="D63" i="9"/>
  <c r="A63" i="9"/>
  <c r="AH62" i="9"/>
  <c r="AE62" i="9"/>
  <c r="AD62" i="9"/>
  <c r="AC62" i="9"/>
  <c r="AB62" i="9"/>
  <c r="AG62" i="9" s="1"/>
  <c r="AA62" i="9"/>
  <c r="X62" i="9"/>
  <c r="R62" i="9"/>
  <c r="Q62" i="9"/>
  <c r="P62" i="9"/>
  <c r="K62" i="9"/>
  <c r="J62" i="9"/>
  <c r="I62" i="9"/>
  <c r="H62" i="9"/>
  <c r="G62" i="9"/>
  <c r="F62" i="9"/>
  <c r="E62" i="9"/>
  <c r="D62" i="9"/>
  <c r="A62" i="9"/>
  <c r="AH61" i="9"/>
  <c r="AG61" i="9"/>
  <c r="AE61" i="9"/>
  <c r="AD61" i="9"/>
  <c r="AC61" i="9"/>
  <c r="AB61" i="9"/>
  <c r="AF61" i="9" s="1"/>
  <c r="AA61" i="9"/>
  <c r="X61" i="9"/>
  <c r="R61" i="9"/>
  <c r="Q61" i="9"/>
  <c r="P61" i="9"/>
  <c r="K61" i="9"/>
  <c r="J61" i="9"/>
  <c r="I61" i="9"/>
  <c r="H61" i="9"/>
  <c r="G61" i="9"/>
  <c r="F61" i="9"/>
  <c r="E61" i="9"/>
  <c r="D61" i="9"/>
  <c r="A61" i="9"/>
  <c r="AH60" i="9"/>
  <c r="AE60" i="9"/>
  <c r="AD60" i="9"/>
  <c r="AC60" i="9"/>
  <c r="AB60" i="9"/>
  <c r="AG60" i="9" s="1"/>
  <c r="AA60" i="9"/>
  <c r="X60" i="9"/>
  <c r="R60" i="9"/>
  <c r="Q60" i="9"/>
  <c r="P60" i="9"/>
  <c r="K60" i="9"/>
  <c r="J60" i="9"/>
  <c r="I60" i="9"/>
  <c r="H60" i="9"/>
  <c r="G60" i="9"/>
  <c r="F60" i="9"/>
  <c r="E60" i="9"/>
  <c r="D60" i="9"/>
  <c r="A60" i="9"/>
  <c r="AH59" i="9"/>
  <c r="AE59" i="9"/>
  <c r="AD59" i="9"/>
  <c r="AC59" i="9"/>
  <c r="AB59" i="9"/>
  <c r="AG59" i="9" s="1"/>
  <c r="AA59" i="9"/>
  <c r="X59" i="9"/>
  <c r="R59" i="9"/>
  <c r="Q59" i="9"/>
  <c r="P59" i="9"/>
  <c r="K59" i="9"/>
  <c r="J59" i="9"/>
  <c r="I59" i="9"/>
  <c r="H59" i="9"/>
  <c r="G59" i="9"/>
  <c r="F59" i="9"/>
  <c r="E59" i="9"/>
  <c r="D59" i="9"/>
  <c r="A59" i="9"/>
  <c r="AH58" i="9"/>
  <c r="AG58" i="9"/>
  <c r="AF58" i="9"/>
  <c r="AE58" i="9"/>
  <c r="AD58" i="9"/>
  <c r="AC58" i="9"/>
  <c r="AB58" i="9"/>
  <c r="AA58" i="9"/>
  <c r="X58" i="9"/>
  <c r="R58" i="9"/>
  <c r="Q58" i="9"/>
  <c r="P58" i="9"/>
  <c r="K58" i="9"/>
  <c r="J58" i="9"/>
  <c r="I58" i="9"/>
  <c r="H58" i="9"/>
  <c r="G58" i="9"/>
  <c r="F58" i="9"/>
  <c r="E58" i="9"/>
  <c r="D58" i="9"/>
  <c r="A58" i="9"/>
  <c r="AH57" i="9"/>
  <c r="AG57" i="9"/>
  <c r="AF57" i="9"/>
  <c r="AE57" i="9"/>
  <c r="AD57" i="9"/>
  <c r="AC57" i="9"/>
  <c r="AB57" i="9"/>
  <c r="AA57" i="9"/>
  <c r="X57" i="9"/>
  <c r="R57" i="9"/>
  <c r="Q57" i="9"/>
  <c r="P57" i="9"/>
  <c r="K57" i="9"/>
  <c r="J57" i="9"/>
  <c r="I57" i="9"/>
  <c r="H57" i="9"/>
  <c r="G57" i="9"/>
  <c r="F57" i="9"/>
  <c r="E57" i="9"/>
  <c r="D57" i="9"/>
  <c r="A57" i="9"/>
  <c r="AH56" i="9"/>
  <c r="AF56" i="9"/>
  <c r="AE56" i="9"/>
  <c r="AD56" i="9"/>
  <c r="AC56" i="9"/>
  <c r="AB56" i="9"/>
  <c r="AG56" i="9" s="1"/>
  <c r="AA56" i="9"/>
  <c r="X56" i="9"/>
  <c r="R56" i="9"/>
  <c r="Q56" i="9"/>
  <c r="P56" i="9"/>
  <c r="K56" i="9"/>
  <c r="J56" i="9"/>
  <c r="I56" i="9"/>
  <c r="H56" i="9"/>
  <c r="G56" i="9"/>
  <c r="F56" i="9"/>
  <c r="E56" i="9"/>
  <c r="D56" i="9"/>
  <c r="A56" i="9"/>
  <c r="AH55" i="9"/>
  <c r="AF55" i="9"/>
  <c r="AE55" i="9"/>
  <c r="AD55" i="9"/>
  <c r="AC55" i="9"/>
  <c r="AB55" i="9"/>
  <c r="AG55" i="9" s="1"/>
  <c r="AA55" i="9"/>
  <c r="X55" i="9"/>
  <c r="R55" i="9"/>
  <c r="Q55" i="9"/>
  <c r="P55" i="9"/>
  <c r="K55" i="9"/>
  <c r="J55" i="9"/>
  <c r="I55" i="9"/>
  <c r="H55" i="9"/>
  <c r="G55" i="9"/>
  <c r="F55" i="9"/>
  <c r="E55" i="9"/>
  <c r="D55" i="9"/>
  <c r="A55" i="9"/>
  <c r="AH54" i="9"/>
  <c r="AE54" i="9"/>
  <c r="AD54" i="9"/>
  <c r="AC54" i="9"/>
  <c r="AB54" i="9"/>
  <c r="AG54" i="9" s="1"/>
  <c r="AA54" i="9"/>
  <c r="X54" i="9"/>
  <c r="R54" i="9"/>
  <c r="Q54" i="9"/>
  <c r="P54" i="9"/>
  <c r="K54" i="9"/>
  <c r="J54" i="9"/>
  <c r="I54" i="9"/>
  <c r="H54" i="9"/>
  <c r="G54" i="9"/>
  <c r="F54" i="9"/>
  <c r="E54" i="9"/>
  <c r="D54" i="9"/>
  <c r="A54" i="9"/>
  <c r="AH53" i="9"/>
  <c r="AG53" i="9"/>
  <c r="AE53" i="9"/>
  <c r="AD53" i="9"/>
  <c r="AC53" i="9"/>
  <c r="AB53" i="9"/>
  <c r="AF53" i="9" s="1"/>
  <c r="AA53" i="9"/>
  <c r="X53" i="9"/>
  <c r="R53" i="9"/>
  <c r="Q53" i="9"/>
  <c r="P53" i="9"/>
  <c r="K53" i="9"/>
  <c r="J53" i="9"/>
  <c r="I53" i="9"/>
  <c r="H53" i="9"/>
  <c r="G53" i="9"/>
  <c r="F53" i="9"/>
  <c r="E53" i="9"/>
  <c r="D53" i="9"/>
  <c r="A53" i="9"/>
  <c r="AH52" i="9"/>
  <c r="AE52" i="9"/>
  <c r="AD52" i="9"/>
  <c r="AC52" i="9"/>
  <c r="AB52" i="9"/>
  <c r="AG52" i="9" s="1"/>
  <c r="AA52" i="9"/>
  <c r="X52" i="9"/>
  <c r="R52" i="9"/>
  <c r="Q52" i="9"/>
  <c r="P52" i="9"/>
  <c r="K52" i="9"/>
  <c r="J52" i="9"/>
  <c r="I52" i="9"/>
  <c r="H52" i="9"/>
  <c r="G52" i="9"/>
  <c r="F52" i="9"/>
  <c r="E52" i="9"/>
  <c r="D52" i="9"/>
  <c r="A52" i="9"/>
  <c r="AH51" i="9"/>
  <c r="AE51" i="9"/>
  <c r="AD51" i="9"/>
  <c r="AC51" i="9"/>
  <c r="AB51" i="9"/>
  <c r="AG51" i="9" s="1"/>
  <c r="AA51" i="9"/>
  <c r="X51" i="9"/>
  <c r="R51" i="9"/>
  <c r="Q51" i="9"/>
  <c r="P51" i="9"/>
  <c r="K51" i="9"/>
  <c r="J51" i="9"/>
  <c r="I51" i="9"/>
  <c r="H51" i="9"/>
  <c r="G51" i="9"/>
  <c r="F51" i="9"/>
  <c r="E51" i="9"/>
  <c r="D51" i="9"/>
  <c r="A51" i="9"/>
  <c r="AH50" i="9"/>
  <c r="AG50" i="9"/>
  <c r="AF50" i="9"/>
  <c r="AE50" i="9"/>
  <c r="AD50" i="9"/>
  <c r="AC50" i="9"/>
  <c r="AB50" i="9"/>
  <c r="AA50" i="9"/>
  <c r="X50" i="9"/>
  <c r="R50" i="9"/>
  <c r="Q50" i="9"/>
  <c r="P50" i="9"/>
  <c r="K50" i="9"/>
  <c r="J50" i="9"/>
  <c r="I50" i="9"/>
  <c r="H50" i="9"/>
  <c r="G50" i="9"/>
  <c r="F50" i="9"/>
  <c r="E50" i="9"/>
  <c r="D50" i="9"/>
  <c r="A50" i="9"/>
  <c r="AH49" i="9"/>
  <c r="AG49" i="9"/>
  <c r="AF49" i="9"/>
  <c r="AE49" i="9"/>
  <c r="AD49" i="9"/>
  <c r="AC49" i="9"/>
  <c r="AB49" i="9"/>
  <c r="AA49" i="9"/>
  <c r="X49" i="9"/>
  <c r="R49" i="9"/>
  <c r="Q49" i="9"/>
  <c r="P49" i="9"/>
  <c r="K49" i="9"/>
  <c r="J49" i="9"/>
  <c r="I49" i="9"/>
  <c r="H49" i="9"/>
  <c r="G49" i="9"/>
  <c r="F49" i="9"/>
  <c r="E49" i="9"/>
  <c r="D49" i="9"/>
  <c r="A49" i="9"/>
  <c r="AH48" i="9"/>
  <c r="AF48" i="9"/>
  <c r="AE48" i="9"/>
  <c r="AD48" i="9"/>
  <c r="AC48" i="9"/>
  <c r="AB48" i="9"/>
  <c r="AG48" i="9" s="1"/>
  <c r="AA48" i="9"/>
  <c r="X48" i="9"/>
  <c r="R48" i="9"/>
  <c r="Q48" i="9"/>
  <c r="P48" i="9"/>
  <c r="K48" i="9"/>
  <c r="J48" i="9"/>
  <c r="I48" i="9"/>
  <c r="H48" i="9"/>
  <c r="G48" i="9"/>
  <c r="F48" i="9"/>
  <c r="E48" i="9"/>
  <c r="D48" i="9"/>
  <c r="A48" i="9"/>
  <c r="AH47" i="9"/>
  <c r="AF47" i="9"/>
  <c r="AE47" i="9"/>
  <c r="AD47" i="9"/>
  <c r="AC47" i="9"/>
  <c r="AB47" i="9"/>
  <c r="AG47" i="9" s="1"/>
  <c r="AA47" i="9"/>
  <c r="X47" i="9"/>
  <c r="R47" i="9"/>
  <c r="Q47" i="9"/>
  <c r="P47" i="9"/>
  <c r="K47" i="9"/>
  <c r="J47" i="9"/>
  <c r="I47" i="9"/>
  <c r="H47" i="9"/>
  <c r="G47" i="9"/>
  <c r="F47" i="9"/>
  <c r="E47" i="9"/>
  <c r="D47" i="9"/>
  <c r="A47" i="9"/>
  <c r="AH46" i="9"/>
  <c r="AE46" i="9"/>
  <c r="AD46" i="9"/>
  <c r="AC46" i="9"/>
  <c r="AB46" i="9"/>
  <c r="AG46" i="9" s="1"/>
  <c r="AA46" i="9"/>
  <c r="X46" i="9"/>
  <c r="R46" i="9"/>
  <c r="Q46" i="9"/>
  <c r="P46" i="9"/>
  <c r="K46" i="9"/>
  <c r="J46" i="9"/>
  <c r="I46" i="9"/>
  <c r="H46" i="9"/>
  <c r="G46" i="9"/>
  <c r="F46" i="9"/>
  <c r="E46" i="9"/>
  <c r="D46" i="9"/>
  <c r="A46" i="9"/>
  <c r="AH45" i="9"/>
  <c r="AG45" i="9"/>
  <c r="AE45" i="9"/>
  <c r="AD45" i="9"/>
  <c r="AC45" i="9"/>
  <c r="AB45" i="9"/>
  <c r="AF45" i="9" s="1"/>
  <c r="AA45" i="9"/>
  <c r="X45" i="9"/>
  <c r="R45" i="9"/>
  <c r="Q45" i="9"/>
  <c r="P45" i="9"/>
  <c r="K45" i="9"/>
  <c r="J45" i="9"/>
  <c r="I45" i="9"/>
  <c r="H45" i="9"/>
  <c r="G45" i="9"/>
  <c r="F45" i="9"/>
  <c r="E45" i="9"/>
  <c r="D45" i="9"/>
  <c r="A45" i="9"/>
  <c r="AH44" i="9"/>
  <c r="AE44" i="9"/>
  <c r="AD44" i="9"/>
  <c r="AC44" i="9"/>
  <c r="AB44" i="9"/>
  <c r="AG44" i="9" s="1"/>
  <c r="AA44" i="9"/>
  <c r="X44" i="9"/>
  <c r="R44" i="9"/>
  <c r="Q44" i="9"/>
  <c r="P44" i="9"/>
  <c r="K44" i="9"/>
  <c r="J44" i="9"/>
  <c r="I44" i="9"/>
  <c r="H44" i="9"/>
  <c r="G44" i="9"/>
  <c r="F44" i="9"/>
  <c r="E44" i="9"/>
  <c r="D44" i="9"/>
  <c r="A44" i="9"/>
  <c r="AH43" i="9"/>
  <c r="AE43" i="9"/>
  <c r="AD43" i="9"/>
  <c r="AC43" i="9"/>
  <c r="AB43" i="9"/>
  <c r="AG43" i="9" s="1"/>
  <c r="AA43" i="9"/>
  <c r="X43" i="9"/>
  <c r="R43" i="9"/>
  <c r="Q43" i="9"/>
  <c r="P43" i="9"/>
  <c r="K43" i="9"/>
  <c r="J43" i="9"/>
  <c r="I43" i="9"/>
  <c r="H43" i="9"/>
  <c r="G43" i="9"/>
  <c r="F43" i="9"/>
  <c r="E43" i="9"/>
  <c r="D43" i="9"/>
  <c r="A43" i="9"/>
  <c r="AH42" i="9"/>
  <c r="AG42" i="9"/>
  <c r="AF42" i="9"/>
  <c r="AE42" i="9"/>
  <c r="AD42" i="9"/>
  <c r="AC42" i="9"/>
  <c r="AB42" i="9"/>
  <c r="AA42" i="9"/>
  <c r="X42" i="9"/>
  <c r="R42" i="9"/>
  <c r="Q42" i="9"/>
  <c r="P42" i="9"/>
  <c r="K42" i="9"/>
  <c r="J42" i="9"/>
  <c r="I42" i="9"/>
  <c r="H42" i="9"/>
  <c r="G42" i="9"/>
  <c r="F42" i="9"/>
  <c r="E42" i="9"/>
  <c r="D42" i="9"/>
  <c r="A42" i="9"/>
  <c r="AH41" i="9"/>
  <c r="AG41" i="9"/>
  <c r="AF41" i="9"/>
  <c r="AE41" i="9"/>
  <c r="AD41" i="9"/>
  <c r="AC41" i="9"/>
  <c r="AB41" i="9"/>
  <c r="AA41" i="9"/>
  <c r="X41" i="9"/>
  <c r="R41" i="9"/>
  <c r="Q41" i="9"/>
  <c r="P41" i="9"/>
  <c r="K41" i="9"/>
  <c r="J41" i="9"/>
  <c r="I41" i="9"/>
  <c r="H41" i="9"/>
  <c r="G41" i="9"/>
  <c r="F41" i="9"/>
  <c r="E41" i="9"/>
  <c r="D41" i="9"/>
  <c r="A41" i="9"/>
  <c r="AH40" i="9"/>
  <c r="AF40" i="9"/>
  <c r="AE40" i="9"/>
  <c r="AD40" i="9"/>
  <c r="AC40" i="9"/>
  <c r="AB40" i="9"/>
  <c r="AG40" i="9" s="1"/>
  <c r="AA40" i="9"/>
  <c r="X40" i="9"/>
  <c r="R40" i="9"/>
  <c r="Q40" i="9"/>
  <c r="P40" i="9"/>
  <c r="K40" i="9"/>
  <c r="J40" i="9"/>
  <c r="I40" i="9"/>
  <c r="H40" i="9"/>
  <c r="G40" i="9"/>
  <c r="F40" i="9"/>
  <c r="E40" i="9"/>
  <c r="D40" i="9"/>
  <c r="A40" i="9"/>
  <c r="AH39" i="9"/>
  <c r="AF39" i="9"/>
  <c r="AE39" i="9"/>
  <c r="AD39" i="9"/>
  <c r="AC39" i="9"/>
  <c r="AB39" i="9"/>
  <c r="AG39" i="9" s="1"/>
  <c r="AA39" i="9"/>
  <c r="X39" i="9"/>
  <c r="R39" i="9"/>
  <c r="Q39" i="9"/>
  <c r="P39" i="9"/>
  <c r="K39" i="9"/>
  <c r="J39" i="9"/>
  <c r="I39" i="9"/>
  <c r="H39" i="9"/>
  <c r="G39" i="9"/>
  <c r="F39" i="9"/>
  <c r="E39" i="9"/>
  <c r="D39" i="9"/>
  <c r="A39" i="9"/>
  <c r="AH38" i="9"/>
  <c r="AE38" i="9"/>
  <c r="AD38" i="9"/>
  <c r="AC38" i="9"/>
  <c r="AB38" i="9"/>
  <c r="AG38" i="9" s="1"/>
  <c r="AA38" i="9"/>
  <c r="X38" i="9"/>
  <c r="R38" i="9"/>
  <c r="Q38" i="9"/>
  <c r="P38" i="9"/>
  <c r="K38" i="9"/>
  <c r="J38" i="9"/>
  <c r="I38" i="9"/>
  <c r="H38" i="9"/>
  <c r="G38" i="9"/>
  <c r="F38" i="9"/>
  <c r="E38" i="9"/>
  <c r="D38" i="9"/>
  <c r="A38" i="9"/>
  <c r="AH37" i="9"/>
  <c r="AG37" i="9"/>
  <c r="AE37" i="9"/>
  <c r="AD37" i="9"/>
  <c r="AC37" i="9"/>
  <c r="AB37" i="9"/>
  <c r="AF37" i="9" s="1"/>
  <c r="AA37" i="9"/>
  <c r="X37" i="9"/>
  <c r="R37" i="9"/>
  <c r="Q37" i="9"/>
  <c r="P37" i="9"/>
  <c r="K37" i="9"/>
  <c r="J37" i="9"/>
  <c r="I37" i="9"/>
  <c r="H37" i="9"/>
  <c r="G37" i="9"/>
  <c r="F37" i="9"/>
  <c r="E37" i="9"/>
  <c r="D37" i="9"/>
  <c r="A37" i="9"/>
  <c r="AH36" i="9"/>
  <c r="AE36" i="9"/>
  <c r="AD36" i="9"/>
  <c r="AC36" i="9"/>
  <c r="AB36" i="9"/>
  <c r="AG36" i="9" s="1"/>
  <c r="AA36" i="9"/>
  <c r="X36" i="9"/>
  <c r="R36" i="9"/>
  <c r="Q36" i="9"/>
  <c r="P36" i="9"/>
  <c r="K36" i="9"/>
  <c r="J36" i="9"/>
  <c r="I36" i="9"/>
  <c r="H36" i="9"/>
  <c r="G36" i="9"/>
  <c r="F36" i="9"/>
  <c r="E36" i="9"/>
  <c r="D36" i="9"/>
  <c r="A36" i="9"/>
  <c r="AH35" i="9"/>
  <c r="AE35" i="9"/>
  <c r="AD35" i="9"/>
  <c r="AC35" i="9"/>
  <c r="AB35" i="9"/>
  <c r="AG35" i="9" s="1"/>
  <c r="AA35" i="9"/>
  <c r="X35" i="9"/>
  <c r="R35" i="9"/>
  <c r="Q35" i="9"/>
  <c r="P35" i="9"/>
  <c r="K35" i="9"/>
  <c r="J35" i="9"/>
  <c r="I35" i="9"/>
  <c r="H35" i="9"/>
  <c r="G35" i="9"/>
  <c r="F35" i="9"/>
  <c r="E35" i="9"/>
  <c r="D35" i="9"/>
  <c r="A35" i="9"/>
  <c r="AH34" i="9"/>
  <c r="AG34" i="9"/>
  <c r="AF34" i="9"/>
  <c r="AE34" i="9"/>
  <c r="AD34" i="9"/>
  <c r="AC34" i="9"/>
  <c r="AB34" i="9"/>
  <c r="AA34" i="9"/>
  <c r="X34" i="9"/>
  <c r="R34" i="9"/>
  <c r="Q34" i="9"/>
  <c r="P34" i="9"/>
  <c r="K34" i="9"/>
  <c r="J34" i="9"/>
  <c r="I34" i="9"/>
  <c r="H34" i="9"/>
  <c r="G34" i="9"/>
  <c r="F34" i="9"/>
  <c r="E34" i="9"/>
  <c r="D34" i="9"/>
  <c r="A34" i="9"/>
  <c r="AH33" i="9"/>
  <c r="AG33" i="9"/>
  <c r="AF33" i="9"/>
  <c r="AE33" i="9"/>
  <c r="AD33" i="9"/>
  <c r="AC33" i="9"/>
  <c r="AB33" i="9"/>
  <c r="AA33" i="9"/>
  <c r="X33" i="9"/>
  <c r="R33" i="9"/>
  <c r="Q33" i="9"/>
  <c r="P33" i="9"/>
  <c r="K33" i="9"/>
  <c r="J33" i="9"/>
  <c r="I33" i="9"/>
  <c r="H33" i="9"/>
  <c r="G33" i="9"/>
  <c r="F33" i="9"/>
  <c r="E33" i="9"/>
  <c r="D33" i="9"/>
  <c r="A33" i="9"/>
  <c r="AH32" i="9"/>
  <c r="AF32" i="9"/>
  <c r="AE32" i="9"/>
  <c r="AD32" i="9"/>
  <c r="AC32" i="9"/>
  <c r="AB32" i="9"/>
  <c r="AG32" i="9" s="1"/>
  <c r="AA32" i="9"/>
  <c r="X32" i="9"/>
  <c r="R32" i="9"/>
  <c r="Q32" i="9"/>
  <c r="P32" i="9"/>
  <c r="K32" i="9"/>
  <c r="J32" i="9"/>
  <c r="I32" i="9"/>
  <c r="H32" i="9"/>
  <c r="G32" i="9"/>
  <c r="F32" i="9"/>
  <c r="E32" i="9"/>
  <c r="D32" i="9"/>
  <c r="A32" i="9"/>
  <c r="AH31" i="9"/>
  <c r="AF31" i="9"/>
  <c r="AE31" i="9"/>
  <c r="AD31" i="9"/>
  <c r="AC31" i="9"/>
  <c r="AB31" i="9"/>
  <c r="AG31" i="9" s="1"/>
  <c r="AA31" i="9"/>
  <c r="X31" i="9"/>
  <c r="R31" i="9"/>
  <c r="Q31" i="9"/>
  <c r="P31" i="9"/>
  <c r="K31" i="9"/>
  <c r="J31" i="9"/>
  <c r="I31" i="9"/>
  <c r="H31" i="9"/>
  <c r="G31" i="9"/>
  <c r="F31" i="9"/>
  <c r="E31" i="9"/>
  <c r="D31" i="9"/>
  <c r="A31" i="9"/>
  <c r="AH30" i="9"/>
  <c r="AE30" i="9"/>
  <c r="AD30" i="9"/>
  <c r="AC30" i="9"/>
  <c r="AB30" i="9"/>
  <c r="AG30" i="9" s="1"/>
  <c r="AA30" i="9"/>
  <c r="X30" i="9"/>
  <c r="R30" i="9"/>
  <c r="Q30" i="9"/>
  <c r="P30" i="9"/>
  <c r="K30" i="9"/>
  <c r="J30" i="9"/>
  <c r="I30" i="9"/>
  <c r="H30" i="9"/>
  <c r="G30" i="9"/>
  <c r="F30" i="9"/>
  <c r="E30" i="9"/>
  <c r="D30" i="9"/>
  <c r="A30" i="9"/>
  <c r="AH29" i="9"/>
  <c r="AG29" i="9"/>
  <c r="AE29" i="9"/>
  <c r="AD29" i="9"/>
  <c r="AC29" i="9"/>
  <c r="AB29" i="9"/>
  <c r="AF29" i="9" s="1"/>
  <c r="AA29" i="9"/>
  <c r="X29" i="9"/>
  <c r="R29" i="9"/>
  <c r="Q29" i="9"/>
  <c r="P29" i="9"/>
  <c r="K29" i="9"/>
  <c r="J29" i="9"/>
  <c r="I29" i="9"/>
  <c r="H29" i="9"/>
  <c r="G29" i="9"/>
  <c r="F29" i="9"/>
  <c r="E29" i="9"/>
  <c r="D29" i="9"/>
  <c r="A29" i="9"/>
  <c r="AH28" i="9"/>
  <c r="AE28" i="9"/>
  <c r="AD28" i="9"/>
  <c r="AC28" i="9"/>
  <c r="AB28" i="9"/>
  <c r="AG28" i="9" s="1"/>
  <c r="AA28" i="9"/>
  <c r="X28" i="9"/>
  <c r="R28" i="9"/>
  <c r="Q28" i="9"/>
  <c r="P28" i="9"/>
  <c r="K28" i="9"/>
  <c r="J28" i="9"/>
  <c r="I28" i="9"/>
  <c r="H28" i="9"/>
  <c r="G28" i="9"/>
  <c r="F28" i="9"/>
  <c r="E28" i="9"/>
  <c r="D28" i="9"/>
  <c r="A28" i="9"/>
  <c r="AH27" i="9"/>
  <c r="AE27" i="9"/>
  <c r="AD27" i="9"/>
  <c r="AC27" i="9"/>
  <c r="AB27" i="9"/>
  <c r="AG27" i="9" s="1"/>
  <c r="AA27" i="9"/>
  <c r="X27" i="9"/>
  <c r="R27" i="9"/>
  <c r="Q27" i="9"/>
  <c r="P27" i="9"/>
  <c r="K27" i="9"/>
  <c r="J27" i="9"/>
  <c r="I27" i="9"/>
  <c r="H27" i="9"/>
  <c r="G27" i="9"/>
  <c r="F27" i="9"/>
  <c r="E27" i="9"/>
  <c r="D27" i="9"/>
  <c r="A27" i="9"/>
  <c r="AH26" i="9"/>
  <c r="AG26" i="9"/>
  <c r="AF26" i="9"/>
  <c r="AE26" i="9"/>
  <c r="AD26" i="9"/>
  <c r="AC26" i="9"/>
  <c r="AB26" i="9"/>
  <c r="AA26" i="9"/>
  <c r="X26" i="9"/>
  <c r="R26" i="9"/>
  <c r="Q26" i="9"/>
  <c r="P26" i="9"/>
  <c r="K26" i="9"/>
  <c r="J26" i="9"/>
  <c r="I26" i="9"/>
  <c r="H26" i="9"/>
  <c r="G26" i="9"/>
  <c r="F26" i="9"/>
  <c r="E26" i="9"/>
  <c r="D26" i="9"/>
  <c r="A26" i="9"/>
  <c r="AH25" i="9"/>
  <c r="AG25" i="9"/>
  <c r="AF25" i="9"/>
  <c r="AE25" i="9"/>
  <c r="AD25" i="9"/>
  <c r="AC25" i="9"/>
  <c r="AB25" i="9"/>
  <c r="AA25" i="9"/>
  <c r="X25" i="9"/>
  <c r="R25" i="9"/>
  <c r="Q25" i="9"/>
  <c r="P25" i="9"/>
  <c r="K25" i="9"/>
  <c r="J25" i="9"/>
  <c r="I25" i="9"/>
  <c r="H25" i="9"/>
  <c r="G25" i="9"/>
  <c r="F25" i="9"/>
  <c r="E25" i="9"/>
  <c r="D25" i="9"/>
  <c r="A25" i="9"/>
  <c r="AH24" i="9"/>
  <c r="AF24" i="9"/>
  <c r="AE24" i="9"/>
  <c r="AD24" i="9"/>
  <c r="AC24" i="9"/>
  <c r="AB24" i="9"/>
  <c r="AG24" i="9" s="1"/>
  <c r="AA24" i="9"/>
  <c r="X24" i="9"/>
  <c r="R24" i="9"/>
  <c r="Q24" i="9"/>
  <c r="P24" i="9"/>
  <c r="K24" i="9"/>
  <c r="J24" i="9"/>
  <c r="I24" i="9"/>
  <c r="H24" i="9"/>
  <c r="G24" i="9"/>
  <c r="F24" i="9"/>
  <c r="E24" i="9"/>
  <c r="D24" i="9"/>
  <c r="A24" i="9"/>
  <c r="AH23" i="9"/>
  <c r="AF23" i="9"/>
  <c r="AE23" i="9"/>
  <c r="AD23" i="9"/>
  <c r="AC23" i="9"/>
  <c r="AB23" i="9"/>
  <c r="AG23" i="9" s="1"/>
  <c r="AA23" i="9"/>
  <c r="X23" i="9"/>
  <c r="R23" i="9"/>
  <c r="Q23" i="9"/>
  <c r="P23" i="9"/>
  <c r="K23" i="9"/>
  <c r="J23" i="9"/>
  <c r="I23" i="9"/>
  <c r="H23" i="9"/>
  <c r="G23" i="9"/>
  <c r="F23" i="9"/>
  <c r="E23" i="9"/>
  <c r="D23" i="9"/>
  <c r="A23" i="9"/>
  <c r="AH22" i="9"/>
  <c r="AE22" i="9"/>
  <c r="AD22" i="9"/>
  <c r="AC22" i="9"/>
  <c r="AB22" i="9"/>
  <c r="AG22" i="9" s="1"/>
  <c r="AA22" i="9"/>
  <c r="X22" i="9"/>
  <c r="R22" i="9"/>
  <c r="Q22" i="9"/>
  <c r="P22" i="9"/>
  <c r="K22" i="9"/>
  <c r="J22" i="9"/>
  <c r="I22" i="9"/>
  <c r="H22" i="9"/>
  <c r="G22" i="9"/>
  <c r="F22" i="9"/>
  <c r="E22" i="9"/>
  <c r="D22" i="9"/>
  <c r="A22" i="9"/>
  <c r="AH21" i="9"/>
  <c r="AG21" i="9"/>
  <c r="AE21" i="9"/>
  <c r="AD21" i="9"/>
  <c r="AC21" i="9"/>
  <c r="AB21" i="9"/>
  <c r="AF21" i="9" s="1"/>
  <c r="AA21" i="9"/>
  <c r="X21" i="9"/>
  <c r="R21" i="9"/>
  <c r="Q21" i="9"/>
  <c r="P21" i="9"/>
  <c r="K21" i="9"/>
  <c r="J21" i="9"/>
  <c r="I21" i="9"/>
  <c r="H21" i="9"/>
  <c r="G21" i="9"/>
  <c r="F21" i="9"/>
  <c r="E21" i="9"/>
  <c r="D21" i="9"/>
  <c r="A21" i="9"/>
  <c r="AH20" i="9"/>
  <c r="AE20" i="9"/>
  <c r="AD20" i="9"/>
  <c r="AC20" i="9"/>
  <c r="AB20" i="9"/>
  <c r="AG20" i="9" s="1"/>
  <c r="AA20" i="9"/>
  <c r="X20" i="9"/>
  <c r="R20" i="9"/>
  <c r="Q20" i="9"/>
  <c r="P20" i="9"/>
  <c r="K20" i="9"/>
  <c r="J20" i="9"/>
  <c r="I20" i="9"/>
  <c r="H20" i="9"/>
  <c r="G20" i="9"/>
  <c r="F20" i="9"/>
  <c r="E20" i="9"/>
  <c r="D20" i="9"/>
  <c r="A20" i="9"/>
  <c r="AH19" i="9"/>
  <c r="AE19" i="9"/>
  <c r="AD19" i="9"/>
  <c r="AC19" i="9"/>
  <c r="AB19" i="9"/>
  <c r="AG19" i="9" s="1"/>
  <c r="AA19" i="9"/>
  <c r="X19" i="9"/>
  <c r="R19" i="9"/>
  <c r="Q19" i="9"/>
  <c r="P19" i="9"/>
  <c r="K19" i="9"/>
  <c r="J19" i="9"/>
  <c r="I19" i="9"/>
  <c r="H19" i="9"/>
  <c r="G19" i="9"/>
  <c r="F19" i="9"/>
  <c r="E19" i="9"/>
  <c r="D19" i="9"/>
  <c r="A19" i="9"/>
  <c r="AH18" i="9"/>
  <c r="AG18" i="9"/>
  <c r="AF18" i="9"/>
  <c r="AE18" i="9"/>
  <c r="AD18" i="9"/>
  <c r="AC18" i="9"/>
  <c r="AB18" i="9"/>
  <c r="AA18" i="9"/>
  <c r="X18" i="9"/>
  <c r="R18" i="9"/>
  <c r="Q18" i="9"/>
  <c r="P18" i="9"/>
  <c r="K18" i="9"/>
  <c r="J18" i="9"/>
  <c r="I18" i="9"/>
  <c r="H18" i="9"/>
  <c r="G18" i="9"/>
  <c r="F18" i="9"/>
  <c r="E18" i="9"/>
  <c r="D18" i="9"/>
  <c r="A18" i="9"/>
  <c r="AH17" i="9"/>
  <c r="AG17" i="9"/>
  <c r="AF17" i="9"/>
  <c r="AE17" i="9"/>
  <c r="AD17" i="9"/>
  <c r="AC17" i="9"/>
  <c r="AB17" i="9"/>
  <c r="AA17" i="9"/>
  <c r="X17" i="9"/>
  <c r="R17" i="9"/>
  <c r="Q17" i="9"/>
  <c r="P17" i="9"/>
  <c r="K17" i="9"/>
  <c r="J17" i="9"/>
  <c r="I17" i="9"/>
  <c r="H17" i="9"/>
  <c r="G17" i="9"/>
  <c r="F17" i="9"/>
  <c r="E17" i="9"/>
  <c r="D17" i="9"/>
  <c r="A17" i="9"/>
  <c r="AH16" i="9"/>
  <c r="AF16" i="9"/>
  <c r="AE16" i="9"/>
  <c r="AD16" i="9"/>
  <c r="AC16" i="9"/>
  <c r="AB16" i="9"/>
  <c r="AG16" i="9" s="1"/>
  <c r="AA16" i="9"/>
  <c r="X16" i="9"/>
  <c r="R16" i="9"/>
  <c r="Q16" i="9"/>
  <c r="P16" i="9"/>
  <c r="K16" i="9"/>
  <c r="J16" i="9"/>
  <c r="I16" i="9"/>
  <c r="H16" i="9"/>
  <c r="G16" i="9"/>
  <c r="F16" i="9"/>
  <c r="E16" i="9"/>
  <c r="D16" i="9"/>
  <c r="A16" i="9"/>
  <c r="AH15" i="9"/>
  <c r="AF15" i="9"/>
  <c r="AE15" i="9"/>
  <c r="AD15" i="9"/>
  <c r="AC15" i="9"/>
  <c r="AB15" i="9"/>
  <c r="AG15" i="9" s="1"/>
  <c r="AA15" i="9"/>
  <c r="X15" i="9"/>
  <c r="R15" i="9"/>
  <c r="Q15" i="9"/>
  <c r="P15" i="9"/>
  <c r="K15" i="9"/>
  <c r="J15" i="9"/>
  <c r="I15" i="9"/>
  <c r="H15" i="9"/>
  <c r="G15" i="9"/>
  <c r="F15" i="9"/>
  <c r="E15" i="9"/>
  <c r="D15" i="9"/>
  <c r="A15" i="9"/>
  <c r="AH14" i="9"/>
  <c r="AE14" i="9"/>
  <c r="AD14" i="9"/>
  <c r="AC14" i="9"/>
  <c r="AB14" i="9"/>
  <c r="AG14" i="9" s="1"/>
  <c r="AA14" i="9"/>
  <c r="X14" i="9"/>
  <c r="R14" i="9"/>
  <c r="Q14" i="9"/>
  <c r="P14" i="9"/>
  <c r="K14" i="9"/>
  <c r="J14" i="9"/>
  <c r="I14" i="9"/>
  <c r="H14" i="9"/>
  <c r="G14" i="9"/>
  <c r="F14" i="9"/>
  <c r="E14" i="9"/>
  <c r="D14" i="9"/>
  <c r="A14" i="9"/>
  <c r="AH13" i="9"/>
  <c r="AG13" i="9"/>
  <c r="AE13" i="9"/>
  <c r="AD13" i="9"/>
  <c r="AC13" i="9"/>
  <c r="AB13" i="9"/>
  <c r="AF13" i="9" s="1"/>
  <c r="AA13" i="9"/>
  <c r="X13" i="9"/>
  <c r="R13" i="9"/>
  <c r="Q13" i="9"/>
  <c r="P13" i="9"/>
  <c r="K13" i="9"/>
  <c r="J13" i="9"/>
  <c r="I13" i="9"/>
  <c r="H13" i="9"/>
  <c r="G13" i="9"/>
  <c r="F13" i="9"/>
  <c r="E13" i="9"/>
  <c r="D13" i="9"/>
  <c r="A13" i="9"/>
  <c r="AH12" i="9"/>
  <c r="AE12" i="9"/>
  <c r="AD12" i="9"/>
  <c r="AC12" i="9"/>
  <c r="AB12" i="9"/>
  <c r="AG12" i="9" s="1"/>
  <c r="AA12" i="9"/>
  <c r="X12" i="9"/>
  <c r="R12" i="9"/>
  <c r="Q12" i="9"/>
  <c r="P12" i="9"/>
  <c r="K12" i="9"/>
  <c r="J12" i="9"/>
  <c r="I12" i="9"/>
  <c r="H12" i="9"/>
  <c r="G12" i="9"/>
  <c r="F12" i="9"/>
  <c r="E12" i="9"/>
  <c r="D12" i="9"/>
  <c r="A12" i="9"/>
  <c r="AH11" i="9"/>
  <c r="AE11" i="9"/>
  <c r="AD11" i="9"/>
  <c r="AC11" i="9"/>
  <c r="AB11" i="9"/>
  <c r="AG11" i="9" s="1"/>
  <c r="AA11" i="9"/>
  <c r="X11" i="9"/>
  <c r="R11" i="9"/>
  <c r="Q11" i="9"/>
  <c r="P11" i="9"/>
  <c r="K11" i="9"/>
  <c r="J11" i="9"/>
  <c r="I11" i="9"/>
  <c r="H11" i="9"/>
  <c r="G11" i="9"/>
  <c r="F11" i="9"/>
  <c r="E11" i="9"/>
  <c r="D11" i="9"/>
  <c r="A11" i="9"/>
  <c r="AH10" i="9"/>
  <c r="AG10" i="9"/>
  <c r="AF10" i="9"/>
  <c r="AE10" i="9"/>
  <c r="AD10" i="9"/>
  <c r="AC10" i="9"/>
  <c r="AB10" i="9"/>
  <c r="AA10" i="9"/>
  <c r="X10" i="9"/>
  <c r="R10" i="9"/>
  <c r="Q10" i="9"/>
  <c r="P10" i="9"/>
  <c r="K10" i="9"/>
  <c r="J10" i="9"/>
  <c r="I10" i="9"/>
  <c r="H10" i="9"/>
  <c r="G10" i="9"/>
  <c r="F10" i="9"/>
  <c r="E10" i="9"/>
  <c r="D10" i="9"/>
  <c r="A10" i="9"/>
  <c r="AH9" i="9"/>
  <c r="AG9" i="9"/>
  <c r="AF9" i="9"/>
  <c r="AE9" i="9"/>
  <c r="AD9" i="9"/>
  <c r="AC9" i="9"/>
  <c r="AB9" i="9"/>
  <c r="AA9" i="9"/>
  <c r="X9" i="9"/>
  <c r="R9" i="9"/>
  <c r="Q9" i="9"/>
  <c r="P9" i="9"/>
  <c r="K9" i="9"/>
  <c r="J9" i="9"/>
  <c r="I9" i="9"/>
  <c r="H9" i="9"/>
  <c r="G9" i="9"/>
  <c r="F9" i="9"/>
  <c r="E9" i="9"/>
  <c r="D9" i="9"/>
  <c r="A9" i="9"/>
  <c r="AH8" i="9"/>
  <c r="AF8" i="9"/>
  <c r="AE8" i="9"/>
  <c r="AD8" i="9"/>
  <c r="AC8" i="9"/>
  <c r="AB8" i="9"/>
  <c r="AG8" i="9" s="1"/>
  <c r="AA8" i="9"/>
  <c r="X8" i="9"/>
  <c r="R8" i="9"/>
  <c r="Q8" i="9"/>
  <c r="P8" i="9"/>
  <c r="K8" i="9"/>
  <c r="J8" i="9"/>
  <c r="I8" i="9"/>
  <c r="H8" i="9"/>
  <c r="G8" i="9"/>
  <c r="F8" i="9"/>
  <c r="E8" i="9"/>
  <c r="D8" i="9"/>
  <c r="A8" i="9"/>
  <c r="AH7" i="9"/>
  <c r="AF7" i="9"/>
  <c r="AE7" i="9"/>
  <c r="AD7" i="9"/>
  <c r="AC7" i="9"/>
  <c r="AB7" i="9"/>
  <c r="AG7" i="9" s="1"/>
  <c r="AA7" i="9"/>
  <c r="X7" i="9"/>
  <c r="R7" i="9"/>
  <c r="Q7" i="9"/>
  <c r="P7" i="9"/>
  <c r="K7" i="9"/>
  <c r="J7" i="9"/>
  <c r="I7" i="9"/>
  <c r="H7" i="9"/>
  <c r="G7" i="9"/>
  <c r="F7" i="9"/>
  <c r="E7" i="9"/>
  <c r="D7" i="9"/>
  <c r="A7" i="9"/>
  <c r="AH6" i="9"/>
  <c r="AE6" i="9"/>
  <c r="AD6" i="9"/>
  <c r="AC6" i="9"/>
  <c r="AB6" i="9"/>
  <c r="AG6" i="9" s="1"/>
  <c r="AA6" i="9"/>
  <c r="X6" i="9"/>
  <c r="R6" i="9"/>
  <c r="Q6" i="9"/>
  <c r="P6" i="9"/>
  <c r="K6" i="9"/>
  <c r="J6" i="9"/>
  <c r="I6" i="9"/>
  <c r="H6" i="9"/>
  <c r="G6" i="9"/>
  <c r="F6" i="9"/>
  <c r="E6" i="9"/>
  <c r="D6" i="9"/>
  <c r="A6" i="9"/>
  <c r="AH5" i="9"/>
  <c r="AD5" i="9"/>
  <c r="AE5" i="9" s="1"/>
  <c r="AC5" i="9"/>
  <c r="AB5" i="9"/>
  <c r="AA5" i="9"/>
  <c r="X5" i="9"/>
  <c r="R5" i="9"/>
  <c r="Q5" i="9"/>
  <c r="P5" i="9"/>
  <c r="K5" i="9"/>
  <c r="J5" i="9"/>
  <c r="I5" i="9"/>
  <c r="H5" i="9"/>
  <c r="G5" i="9"/>
  <c r="F5" i="9"/>
  <c r="E5" i="9"/>
  <c r="D5" i="9"/>
  <c r="A5" i="9"/>
  <c r="P34" i="8"/>
  <c r="O34" i="8"/>
  <c r="P33" i="8"/>
  <c r="O33" i="8"/>
  <c r="P32" i="8"/>
  <c r="O32" i="8"/>
  <c r="P31" i="8"/>
  <c r="O31" i="8"/>
  <c r="P30" i="8"/>
  <c r="O30" i="8"/>
  <c r="P29" i="8"/>
  <c r="O29" i="8"/>
  <c r="P28" i="8"/>
  <c r="O28" i="8"/>
  <c r="P27" i="8"/>
  <c r="O27" i="8"/>
  <c r="P26" i="8"/>
  <c r="O26" i="8"/>
  <c r="P25" i="8"/>
  <c r="O25" i="8"/>
  <c r="P24" i="8"/>
  <c r="O24" i="8"/>
  <c r="P23" i="8"/>
  <c r="O23" i="8"/>
  <c r="P22" i="8"/>
  <c r="O22" i="8"/>
  <c r="P21" i="8"/>
  <c r="O21" i="8"/>
  <c r="P20" i="8"/>
  <c r="O20" i="8"/>
  <c r="P19" i="8"/>
  <c r="O19" i="8"/>
  <c r="P18" i="8"/>
  <c r="O18" i="8"/>
  <c r="P17" i="8"/>
  <c r="O17" i="8"/>
  <c r="P16" i="8"/>
  <c r="O16" i="8"/>
  <c r="P15" i="8"/>
  <c r="O15" i="8"/>
  <c r="P14" i="8"/>
  <c r="O14" i="8"/>
  <c r="P13" i="8"/>
  <c r="O13" i="8"/>
  <c r="P12" i="8"/>
  <c r="O12" i="8"/>
  <c r="P11" i="8"/>
  <c r="O11" i="8"/>
  <c r="P10" i="8"/>
  <c r="O10" i="8"/>
  <c r="P9" i="8"/>
  <c r="O9" i="8"/>
  <c r="P8" i="8"/>
  <c r="O8" i="8"/>
  <c r="P7" i="8"/>
  <c r="O7" i="8"/>
  <c r="P6" i="8"/>
  <c r="O6" i="8"/>
  <c r="P5" i="8"/>
  <c r="O5" i="8"/>
  <c r="L41" i="7"/>
  <c r="L40" i="7"/>
  <c r="O40" i="7" s="1"/>
  <c r="L39" i="7"/>
  <c r="L38" i="7"/>
  <c r="O38" i="7" s="1"/>
  <c r="L37" i="7"/>
  <c r="L36" i="7"/>
  <c r="O36" i="7" s="1"/>
  <c r="L35" i="7"/>
  <c r="L34" i="7"/>
  <c r="O34" i="7" s="1"/>
  <c r="L33" i="7"/>
  <c r="L32" i="7"/>
  <c r="O32" i="7" s="1"/>
  <c r="L31" i="7"/>
  <c r="L30" i="7"/>
  <c r="O30" i="7" s="1"/>
  <c r="L29" i="7"/>
  <c r="L28" i="7"/>
  <c r="O28" i="7" s="1"/>
  <c r="L27" i="7"/>
  <c r="L26" i="7"/>
  <c r="O26" i="7" s="1"/>
  <c r="L25" i="7"/>
  <c r="L24" i="7"/>
  <c r="O24" i="7" s="1"/>
  <c r="L23" i="7"/>
  <c r="L22" i="7"/>
  <c r="O22" i="7" s="1"/>
  <c r="L21" i="7"/>
  <c r="L20" i="7"/>
  <c r="O20" i="7" s="1"/>
  <c r="L19" i="7"/>
  <c r="L18" i="7"/>
  <c r="O18" i="7" s="1"/>
  <c r="L17" i="7"/>
  <c r="L16" i="7"/>
  <c r="O16" i="7" s="1"/>
  <c r="L15" i="7"/>
  <c r="L14" i="7"/>
  <c r="O14" i="7" s="1"/>
  <c r="L13" i="7"/>
  <c r="L12" i="7"/>
  <c r="O12" i="7" s="1"/>
  <c r="L11" i="7"/>
  <c r="L10" i="7"/>
  <c r="O10" i="7" s="1"/>
  <c r="L9" i="7"/>
  <c r="L8" i="7"/>
  <c r="O8" i="7" s="1"/>
  <c r="L7" i="7"/>
  <c r="L6" i="7"/>
  <c r="O6" i="7" s="1"/>
  <c r="L5" i="7"/>
  <c r="J218" i="6"/>
  <c r="I218" i="6"/>
  <c r="H218" i="6"/>
  <c r="E218" i="6"/>
  <c r="D218" i="6"/>
  <c r="G218" i="6" s="1"/>
  <c r="L218" i="6" s="1"/>
  <c r="C218" i="6"/>
  <c r="B218" i="6"/>
  <c r="A218" i="6"/>
  <c r="F218" i="6" s="1"/>
  <c r="J217" i="6"/>
  <c r="I217" i="6"/>
  <c r="H217" i="6"/>
  <c r="D217" i="6"/>
  <c r="C217" i="6"/>
  <c r="B217" i="6"/>
  <c r="A217" i="6"/>
  <c r="F217" i="6" s="1"/>
  <c r="J216" i="6"/>
  <c r="I216" i="6"/>
  <c r="H216" i="6"/>
  <c r="D216" i="6"/>
  <c r="C216" i="6"/>
  <c r="B216" i="6"/>
  <c r="A216" i="6"/>
  <c r="F216" i="6" s="1"/>
  <c r="J215" i="6"/>
  <c r="I215" i="6"/>
  <c r="H215" i="6"/>
  <c r="F215" i="6"/>
  <c r="E215" i="6"/>
  <c r="G215" i="6" s="1"/>
  <c r="D215" i="6"/>
  <c r="C215" i="6"/>
  <c r="B215" i="6"/>
  <c r="A215" i="6"/>
  <c r="J214" i="6"/>
  <c r="I214" i="6"/>
  <c r="H214" i="6"/>
  <c r="D214" i="6"/>
  <c r="C214" i="6"/>
  <c r="B214" i="6"/>
  <c r="A214" i="6"/>
  <c r="F214" i="6" s="1"/>
  <c r="J213" i="6"/>
  <c r="I213" i="6"/>
  <c r="H213" i="6"/>
  <c r="D213" i="6"/>
  <c r="C213" i="6"/>
  <c r="B213" i="6"/>
  <c r="A213" i="6"/>
  <c r="F213" i="6" s="1"/>
  <c r="J212" i="6"/>
  <c r="I212" i="6"/>
  <c r="H212" i="6"/>
  <c r="F212" i="6"/>
  <c r="E212" i="6"/>
  <c r="D212" i="6"/>
  <c r="C212" i="6"/>
  <c r="B212" i="6"/>
  <c r="A212" i="6"/>
  <c r="J211" i="6"/>
  <c r="I211" i="6"/>
  <c r="H211" i="6"/>
  <c r="F211" i="6"/>
  <c r="E211" i="6"/>
  <c r="G211" i="6" s="1"/>
  <c r="D211" i="6"/>
  <c r="C211" i="6"/>
  <c r="B211" i="6"/>
  <c r="A211" i="6"/>
  <c r="J210" i="6"/>
  <c r="I210" i="6"/>
  <c r="H210" i="6"/>
  <c r="D210" i="6"/>
  <c r="C210" i="6"/>
  <c r="B210" i="6"/>
  <c r="A210" i="6"/>
  <c r="F210" i="6" s="1"/>
  <c r="J209" i="6"/>
  <c r="I209" i="6"/>
  <c r="H209" i="6"/>
  <c r="E209" i="6"/>
  <c r="D209" i="6"/>
  <c r="C209" i="6"/>
  <c r="B209" i="6"/>
  <c r="A209" i="6"/>
  <c r="F209" i="6" s="1"/>
  <c r="J208" i="6"/>
  <c r="I208" i="6"/>
  <c r="H208" i="6"/>
  <c r="F208" i="6"/>
  <c r="E208" i="6"/>
  <c r="D208" i="6"/>
  <c r="G208" i="6" s="1"/>
  <c r="L208" i="6" s="1"/>
  <c r="C208" i="6"/>
  <c r="B208" i="6"/>
  <c r="A208" i="6"/>
  <c r="J207" i="6"/>
  <c r="I207" i="6"/>
  <c r="H207" i="6"/>
  <c r="F207" i="6"/>
  <c r="D207" i="6"/>
  <c r="C207" i="6"/>
  <c r="B207" i="6"/>
  <c r="A207" i="6"/>
  <c r="E207" i="6" s="1"/>
  <c r="G207" i="6" s="1"/>
  <c r="J206" i="6"/>
  <c r="I206" i="6"/>
  <c r="H206" i="6"/>
  <c r="E206" i="6"/>
  <c r="D206" i="6"/>
  <c r="C206" i="6"/>
  <c r="B206" i="6"/>
  <c r="A206" i="6"/>
  <c r="F206" i="6" s="1"/>
  <c r="J205" i="6"/>
  <c r="I205" i="6"/>
  <c r="H205" i="6"/>
  <c r="G205" i="6"/>
  <c r="F205" i="6"/>
  <c r="E205" i="6"/>
  <c r="D205" i="6"/>
  <c r="C205" i="6"/>
  <c r="B205" i="6"/>
  <c r="A205" i="6"/>
  <c r="J204" i="6"/>
  <c r="I204" i="6"/>
  <c r="H204" i="6"/>
  <c r="F204" i="6"/>
  <c r="D204" i="6"/>
  <c r="C204" i="6"/>
  <c r="B204" i="6"/>
  <c r="A204" i="6"/>
  <c r="E204" i="6" s="1"/>
  <c r="J203" i="6"/>
  <c r="I203" i="6"/>
  <c r="H203" i="6"/>
  <c r="D203" i="6"/>
  <c r="C203" i="6"/>
  <c r="B203" i="6"/>
  <c r="A203" i="6"/>
  <c r="F203" i="6" s="1"/>
  <c r="L202" i="6"/>
  <c r="J202" i="6"/>
  <c r="I202" i="6"/>
  <c r="H202" i="6"/>
  <c r="F202" i="6"/>
  <c r="E202" i="6"/>
  <c r="D202" i="6"/>
  <c r="G202" i="6" s="1"/>
  <c r="K202" i="6" s="1"/>
  <c r="C202" i="6"/>
  <c r="B202" i="6"/>
  <c r="A202" i="6"/>
  <c r="J201" i="6"/>
  <c r="I201" i="6"/>
  <c r="H201" i="6"/>
  <c r="D201" i="6"/>
  <c r="C201" i="6"/>
  <c r="B201" i="6"/>
  <c r="A201" i="6"/>
  <c r="F201" i="6" s="1"/>
  <c r="J200" i="6"/>
  <c r="I200" i="6"/>
  <c r="H200" i="6"/>
  <c r="D200" i="6"/>
  <c r="C200" i="6"/>
  <c r="B200" i="6"/>
  <c r="A200" i="6"/>
  <c r="F200" i="6" s="1"/>
  <c r="J199" i="6"/>
  <c r="I199" i="6"/>
  <c r="H199" i="6"/>
  <c r="F199" i="6"/>
  <c r="E199" i="6"/>
  <c r="G199" i="6" s="1"/>
  <c r="D199" i="6"/>
  <c r="C199" i="6"/>
  <c r="B199" i="6"/>
  <c r="A199" i="6"/>
  <c r="J198" i="6"/>
  <c r="I198" i="6"/>
  <c r="H198" i="6"/>
  <c r="D198" i="6"/>
  <c r="C198" i="6"/>
  <c r="B198" i="6"/>
  <c r="A198" i="6"/>
  <c r="F198" i="6" s="1"/>
  <c r="J197" i="6"/>
  <c r="I197" i="6"/>
  <c r="H197" i="6"/>
  <c r="D197" i="6"/>
  <c r="C197" i="6"/>
  <c r="B197" i="6"/>
  <c r="A197" i="6"/>
  <c r="F197" i="6" s="1"/>
  <c r="J196" i="6"/>
  <c r="I196" i="6"/>
  <c r="H196" i="6"/>
  <c r="F196" i="6"/>
  <c r="E196" i="6"/>
  <c r="D196" i="6"/>
  <c r="C196" i="6"/>
  <c r="B196" i="6"/>
  <c r="A196" i="6"/>
  <c r="J195" i="6"/>
  <c r="I195" i="6"/>
  <c r="H195" i="6"/>
  <c r="F195" i="6"/>
  <c r="E195" i="6"/>
  <c r="G195" i="6" s="1"/>
  <c r="D195" i="6"/>
  <c r="C195" i="6"/>
  <c r="B195" i="6"/>
  <c r="A195" i="6"/>
  <c r="J194" i="6"/>
  <c r="I194" i="6"/>
  <c r="H194" i="6"/>
  <c r="D194" i="6"/>
  <c r="C194" i="6"/>
  <c r="B194" i="6"/>
  <c r="A194" i="6"/>
  <c r="F194" i="6" s="1"/>
  <c r="J193" i="6"/>
  <c r="I193" i="6"/>
  <c r="H193" i="6"/>
  <c r="E193" i="6"/>
  <c r="G193" i="6" s="1"/>
  <c r="D193" i="6"/>
  <c r="C193" i="6"/>
  <c r="B193" i="6"/>
  <c r="A193" i="6"/>
  <c r="F193" i="6" s="1"/>
  <c r="J192" i="6"/>
  <c r="I192" i="6"/>
  <c r="H192" i="6"/>
  <c r="F192" i="6"/>
  <c r="E192" i="6"/>
  <c r="D192" i="6"/>
  <c r="G192" i="6" s="1"/>
  <c r="L192" i="6" s="1"/>
  <c r="C192" i="6"/>
  <c r="B192" i="6"/>
  <c r="A192" i="6"/>
  <c r="J191" i="6"/>
  <c r="I191" i="6"/>
  <c r="H191" i="6"/>
  <c r="F191" i="6"/>
  <c r="D191" i="6"/>
  <c r="C191" i="6"/>
  <c r="B191" i="6"/>
  <c r="A191" i="6"/>
  <c r="E191" i="6" s="1"/>
  <c r="G191" i="6" s="1"/>
  <c r="J190" i="6"/>
  <c r="I190" i="6"/>
  <c r="H190" i="6"/>
  <c r="E190" i="6"/>
  <c r="D190" i="6"/>
  <c r="C190" i="6"/>
  <c r="B190" i="6"/>
  <c r="A190" i="6"/>
  <c r="F190" i="6" s="1"/>
  <c r="J189" i="6"/>
  <c r="I189" i="6"/>
  <c r="H189" i="6"/>
  <c r="G189" i="6"/>
  <c r="F189" i="6"/>
  <c r="E189" i="6"/>
  <c r="D189" i="6"/>
  <c r="C189" i="6"/>
  <c r="B189" i="6"/>
  <c r="A189" i="6"/>
  <c r="J188" i="6"/>
  <c r="I188" i="6"/>
  <c r="H188" i="6"/>
  <c r="F188" i="6"/>
  <c r="D188" i="6"/>
  <c r="C188" i="6"/>
  <c r="B188" i="6"/>
  <c r="A188" i="6"/>
  <c r="E188" i="6" s="1"/>
  <c r="J187" i="6"/>
  <c r="I187" i="6"/>
  <c r="H187" i="6"/>
  <c r="D187" i="6"/>
  <c r="C187" i="6"/>
  <c r="B187" i="6"/>
  <c r="A187" i="6"/>
  <c r="F187" i="6" s="1"/>
  <c r="L186" i="6"/>
  <c r="J186" i="6"/>
  <c r="I186" i="6"/>
  <c r="H186" i="6"/>
  <c r="F186" i="6"/>
  <c r="E186" i="6"/>
  <c r="D186" i="6"/>
  <c r="G186" i="6" s="1"/>
  <c r="K186" i="6" s="1"/>
  <c r="C186" i="6"/>
  <c r="B186" i="6"/>
  <c r="A186" i="6"/>
  <c r="J185" i="6"/>
  <c r="I185" i="6"/>
  <c r="H185" i="6"/>
  <c r="D185" i="6"/>
  <c r="C185" i="6"/>
  <c r="B185" i="6"/>
  <c r="A185" i="6"/>
  <c r="F185" i="6" s="1"/>
  <c r="J184" i="6"/>
  <c r="I184" i="6"/>
  <c r="H184" i="6"/>
  <c r="D184" i="6"/>
  <c r="C184" i="6"/>
  <c r="B184" i="6"/>
  <c r="A184" i="6"/>
  <c r="F184" i="6" s="1"/>
  <c r="J183" i="6"/>
  <c r="I183" i="6"/>
  <c r="H183" i="6"/>
  <c r="F183" i="6"/>
  <c r="E183" i="6"/>
  <c r="G183" i="6" s="1"/>
  <c r="D183" i="6"/>
  <c r="C183" i="6"/>
  <c r="B183" i="6"/>
  <c r="A183" i="6"/>
  <c r="J182" i="6"/>
  <c r="I182" i="6"/>
  <c r="H182" i="6"/>
  <c r="D182" i="6"/>
  <c r="C182" i="6"/>
  <c r="B182" i="6"/>
  <c r="A182" i="6"/>
  <c r="F182" i="6" s="1"/>
  <c r="J181" i="6"/>
  <c r="I181" i="6"/>
  <c r="H181" i="6"/>
  <c r="D181" i="6"/>
  <c r="C181" i="6"/>
  <c r="B181" i="6"/>
  <c r="A181" i="6"/>
  <c r="F181" i="6" s="1"/>
  <c r="J180" i="6"/>
  <c r="I180" i="6"/>
  <c r="H180" i="6"/>
  <c r="F180" i="6"/>
  <c r="E180" i="6"/>
  <c r="D180" i="6"/>
  <c r="C180" i="6"/>
  <c r="B180" i="6"/>
  <c r="A180" i="6"/>
  <c r="J179" i="6"/>
  <c r="I179" i="6"/>
  <c r="H179" i="6"/>
  <c r="F179" i="6"/>
  <c r="E179" i="6"/>
  <c r="G179" i="6" s="1"/>
  <c r="D179" i="6"/>
  <c r="C179" i="6"/>
  <c r="B179" i="6"/>
  <c r="A179" i="6"/>
  <c r="J178" i="6"/>
  <c r="I178" i="6"/>
  <c r="H178" i="6"/>
  <c r="D178" i="6"/>
  <c r="C178" i="6"/>
  <c r="B178" i="6"/>
  <c r="A178" i="6"/>
  <c r="F178" i="6" s="1"/>
  <c r="J177" i="6"/>
  <c r="I177" i="6"/>
  <c r="H177" i="6"/>
  <c r="G177" i="6"/>
  <c r="F177" i="6"/>
  <c r="E177" i="6"/>
  <c r="D177" i="6"/>
  <c r="C177" i="6"/>
  <c r="B177" i="6"/>
  <c r="A177" i="6"/>
  <c r="J176" i="6"/>
  <c r="I176" i="6"/>
  <c r="H176" i="6"/>
  <c r="D176" i="6"/>
  <c r="C176" i="6"/>
  <c r="B176" i="6"/>
  <c r="A176" i="6"/>
  <c r="F176" i="6" s="1"/>
  <c r="J175" i="6"/>
  <c r="I175" i="6"/>
  <c r="H175" i="6"/>
  <c r="F175" i="6"/>
  <c r="E175" i="6"/>
  <c r="D175" i="6"/>
  <c r="C175" i="6"/>
  <c r="B175" i="6"/>
  <c r="A175" i="6"/>
  <c r="J174" i="6"/>
  <c r="I174" i="6"/>
  <c r="H174" i="6"/>
  <c r="F174" i="6"/>
  <c r="D174" i="6"/>
  <c r="C174" i="6"/>
  <c r="B174" i="6"/>
  <c r="A174" i="6"/>
  <c r="E174" i="6" s="1"/>
  <c r="G174" i="6" s="1"/>
  <c r="J173" i="6"/>
  <c r="I173" i="6"/>
  <c r="H173" i="6"/>
  <c r="E173" i="6"/>
  <c r="D173" i="6"/>
  <c r="C173" i="6"/>
  <c r="B173" i="6"/>
  <c r="A173" i="6"/>
  <c r="F173" i="6" s="1"/>
  <c r="J172" i="6"/>
  <c r="I172" i="6"/>
  <c r="H172" i="6"/>
  <c r="D172" i="6"/>
  <c r="C172" i="6"/>
  <c r="B172" i="6"/>
  <c r="A172" i="6"/>
  <c r="J171" i="6"/>
  <c r="I171" i="6"/>
  <c r="H171" i="6"/>
  <c r="D171" i="6"/>
  <c r="C171" i="6"/>
  <c r="B171" i="6"/>
  <c r="A171" i="6"/>
  <c r="F171" i="6" s="1"/>
  <c r="J170" i="6"/>
  <c r="I170" i="6"/>
  <c r="H170" i="6"/>
  <c r="F170" i="6"/>
  <c r="E170" i="6"/>
  <c r="D170" i="6"/>
  <c r="G170" i="6" s="1"/>
  <c r="C170" i="6"/>
  <c r="B170" i="6"/>
  <c r="A170" i="6"/>
  <c r="J169" i="6"/>
  <c r="I169" i="6"/>
  <c r="H169" i="6"/>
  <c r="D169" i="6"/>
  <c r="C169" i="6"/>
  <c r="B169" i="6"/>
  <c r="A169" i="6"/>
  <c r="F169" i="6" s="1"/>
  <c r="J168" i="6"/>
  <c r="I168" i="6"/>
  <c r="H168" i="6"/>
  <c r="G168" i="6"/>
  <c r="F168" i="6"/>
  <c r="E168" i="6"/>
  <c r="D168" i="6"/>
  <c r="C168" i="6"/>
  <c r="B168" i="6"/>
  <c r="A168" i="6"/>
  <c r="J167" i="6"/>
  <c r="I167" i="6"/>
  <c r="H167" i="6"/>
  <c r="F167" i="6"/>
  <c r="D167" i="6"/>
  <c r="C167" i="6"/>
  <c r="B167" i="6"/>
  <c r="A167" i="6"/>
  <c r="E167" i="6" s="1"/>
  <c r="G167" i="6" s="1"/>
  <c r="J166" i="6"/>
  <c r="I166" i="6"/>
  <c r="H166" i="6"/>
  <c r="F166" i="6"/>
  <c r="E166" i="6"/>
  <c r="D166" i="6"/>
  <c r="G166" i="6" s="1"/>
  <c r="C166" i="6"/>
  <c r="B166" i="6"/>
  <c r="A166" i="6"/>
  <c r="J165" i="6"/>
  <c r="I165" i="6"/>
  <c r="H165" i="6"/>
  <c r="D165" i="6"/>
  <c r="C165" i="6"/>
  <c r="B165" i="6"/>
  <c r="A165" i="6"/>
  <c r="J164" i="6"/>
  <c r="I164" i="6"/>
  <c r="H164" i="6"/>
  <c r="E164" i="6"/>
  <c r="D164" i="6"/>
  <c r="C164" i="6"/>
  <c r="B164" i="6"/>
  <c r="A164" i="6"/>
  <c r="F164" i="6" s="1"/>
  <c r="J163" i="6"/>
  <c r="I163" i="6"/>
  <c r="H163" i="6"/>
  <c r="F163" i="6"/>
  <c r="G163" i="6" s="1"/>
  <c r="E163" i="6"/>
  <c r="D163" i="6"/>
  <c r="C163" i="6"/>
  <c r="B163" i="6"/>
  <c r="A163" i="6"/>
  <c r="J162" i="6"/>
  <c r="I162" i="6"/>
  <c r="H162" i="6"/>
  <c r="D162" i="6"/>
  <c r="C162" i="6"/>
  <c r="B162" i="6"/>
  <c r="A162" i="6"/>
  <c r="F162" i="6" s="1"/>
  <c r="J161" i="6"/>
  <c r="I161" i="6"/>
  <c r="H161" i="6"/>
  <c r="G161" i="6"/>
  <c r="F161" i="6"/>
  <c r="E161" i="6"/>
  <c r="D161" i="6"/>
  <c r="C161" i="6"/>
  <c r="B161" i="6"/>
  <c r="A161" i="6"/>
  <c r="J160" i="6"/>
  <c r="I160" i="6"/>
  <c r="H160" i="6"/>
  <c r="D160" i="6"/>
  <c r="C160" i="6"/>
  <c r="B160" i="6"/>
  <c r="A160" i="6"/>
  <c r="F160" i="6" s="1"/>
  <c r="J159" i="6"/>
  <c r="I159" i="6"/>
  <c r="H159" i="6"/>
  <c r="F159" i="6"/>
  <c r="E159" i="6"/>
  <c r="D159" i="6"/>
  <c r="C159" i="6"/>
  <c r="B159" i="6"/>
  <c r="A159" i="6"/>
  <c r="J158" i="6"/>
  <c r="I158" i="6"/>
  <c r="H158" i="6"/>
  <c r="D158" i="6"/>
  <c r="C158" i="6"/>
  <c r="B158" i="6"/>
  <c r="A158" i="6"/>
  <c r="F158" i="6" s="1"/>
  <c r="J157" i="6"/>
  <c r="I157" i="6"/>
  <c r="H157" i="6"/>
  <c r="E157" i="6"/>
  <c r="G157" i="6" s="1"/>
  <c r="D157" i="6"/>
  <c r="C157" i="6"/>
  <c r="B157" i="6"/>
  <c r="A157" i="6"/>
  <c r="F157" i="6" s="1"/>
  <c r="J156" i="6"/>
  <c r="I156" i="6"/>
  <c r="H156" i="6"/>
  <c r="D156" i="6"/>
  <c r="C156" i="6"/>
  <c r="B156" i="6"/>
  <c r="A156" i="6"/>
  <c r="J155" i="6"/>
  <c r="I155" i="6"/>
  <c r="H155" i="6"/>
  <c r="D155" i="6"/>
  <c r="C155" i="6"/>
  <c r="B155" i="6"/>
  <c r="A155" i="6"/>
  <c r="F155" i="6" s="1"/>
  <c r="J154" i="6"/>
  <c r="I154" i="6"/>
  <c r="H154" i="6"/>
  <c r="F154" i="6"/>
  <c r="E154" i="6"/>
  <c r="D154" i="6"/>
  <c r="G154" i="6" s="1"/>
  <c r="C154" i="6"/>
  <c r="B154" i="6"/>
  <c r="A154" i="6"/>
  <c r="J153" i="6"/>
  <c r="I153" i="6"/>
  <c r="H153" i="6"/>
  <c r="D153" i="6"/>
  <c r="C153" i="6"/>
  <c r="B153" i="6"/>
  <c r="A153" i="6"/>
  <c r="F153" i="6" s="1"/>
  <c r="J152" i="6"/>
  <c r="I152" i="6"/>
  <c r="H152" i="6"/>
  <c r="G152" i="6"/>
  <c r="F152" i="6"/>
  <c r="E152" i="6"/>
  <c r="D152" i="6"/>
  <c r="C152" i="6"/>
  <c r="B152" i="6"/>
  <c r="A152" i="6"/>
  <c r="J151" i="6"/>
  <c r="I151" i="6"/>
  <c r="H151" i="6"/>
  <c r="D151" i="6"/>
  <c r="C151" i="6"/>
  <c r="B151" i="6"/>
  <c r="A151" i="6"/>
  <c r="F151" i="6" s="1"/>
  <c r="J150" i="6"/>
  <c r="I150" i="6"/>
  <c r="H150" i="6"/>
  <c r="F150" i="6"/>
  <c r="E150" i="6"/>
  <c r="D150" i="6"/>
  <c r="C150" i="6"/>
  <c r="B150" i="6"/>
  <c r="A150" i="6"/>
  <c r="J149" i="6"/>
  <c r="I149" i="6"/>
  <c r="H149" i="6"/>
  <c r="D149" i="6"/>
  <c r="C149" i="6"/>
  <c r="B149" i="6"/>
  <c r="A149" i="6"/>
  <c r="J148" i="6"/>
  <c r="I148" i="6"/>
  <c r="H148" i="6"/>
  <c r="E148" i="6"/>
  <c r="D148" i="6"/>
  <c r="C148" i="6"/>
  <c r="B148" i="6"/>
  <c r="A148" i="6"/>
  <c r="F148" i="6" s="1"/>
  <c r="J147" i="6"/>
  <c r="I147" i="6"/>
  <c r="H147" i="6"/>
  <c r="D147" i="6"/>
  <c r="C147" i="6"/>
  <c r="B147" i="6"/>
  <c r="A147" i="6"/>
  <c r="J146" i="6"/>
  <c r="I146" i="6"/>
  <c r="H146" i="6"/>
  <c r="E146" i="6"/>
  <c r="D146" i="6"/>
  <c r="C146" i="6"/>
  <c r="B146" i="6"/>
  <c r="A146" i="6"/>
  <c r="F146" i="6" s="1"/>
  <c r="J145" i="6"/>
  <c r="I145" i="6"/>
  <c r="H145" i="6"/>
  <c r="D145" i="6"/>
  <c r="C145" i="6"/>
  <c r="B145" i="6"/>
  <c r="A145" i="6"/>
  <c r="J144" i="6"/>
  <c r="I144" i="6"/>
  <c r="H144" i="6"/>
  <c r="E144" i="6"/>
  <c r="D144" i="6"/>
  <c r="G144" i="6" s="1"/>
  <c r="C144" i="6"/>
  <c r="B144" i="6"/>
  <c r="A144" i="6"/>
  <c r="F144" i="6" s="1"/>
  <c r="J143" i="6"/>
  <c r="I143" i="6"/>
  <c r="H143" i="6"/>
  <c r="D143" i="6"/>
  <c r="C143" i="6"/>
  <c r="B143" i="6"/>
  <c r="A143" i="6"/>
  <c r="J142" i="6"/>
  <c r="I142" i="6"/>
  <c r="H142" i="6"/>
  <c r="E142" i="6"/>
  <c r="D142" i="6"/>
  <c r="C142" i="6"/>
  <c r="B142" i="6"/>
  <c r="A142" i="6"/>
  <c r="F142" i="6" s="1"/>
  <c r="J141" i="6"/>
  <c r="I141" i="6"/>
  <c r="H141" i="6"/>
  <c r="D141" i="6"/>
  <c r="C141" i="6"/>
  <c r="B141" i="6"/>
  <c r="A141" i="6"/>
  <c r="J140" i="6"/>
  <c r="I140" i="6"/>
  <c r="H140" i="6"/>
  <c r="E140" i="6"/>
  <c r="D140" i="6"/>
  <c r="C140" i="6"/>
  <c r="B140" i="6"/>
  <c r="A140" i="6"/>
  <c r="F140" i="6" s="1"/>
  <c r="J139" i="6"/>
  <c r="I139" i="6"/>
  <c r="H139" i="6"/>
  <c r="D139" i="6"/>
  <c r="C139" i="6"/>
  <c r="B139" i="6"/>
  <c r="A139" i="6"/>
  <c r="J138" i="6"/>
  <c r="I138" i="6"/>
  <c r="H138" i="6"/>
  <c r="E138" i="6"/>
  <c r="D138" i="6"/>
  <c r="C138" i="6"/>
  <c r="B138" i="6"/>
  <c r="A138" i="6"/>
  <c r="F138" i="6" s="1"/>
  <c r="J137" i="6"/>
  <c r="I137" i="6"/>
  <c r="H137" i="6"/>
  <c r="D137" i="6"/>
  <c r="C137" i="6"/>
  <c r="B137" i="6"/>
  <c r="A137" i="6"/>
  <c r="J136" i="6"/>
  <c r="I136" i="6"/>
  <c r="H136" i="6"/>
  <c r="E136" i="6"/>
  <c r="D136" i="6"/>
  <c r="G136" i="6" s="1"/>
  <c r="C136" i="6"/>
  <c r="B136" i="6"/>
  <c r="A136" i="6"/>
  <c r="F136" i="6" s="1"/>
  <c r="J135" i="6"/>
  <c r="I135" i="6"/>
  <c r="H135" i="6"/>
  <c r="D135" i="6"/>
  <c r="C135" i="6"/>
  <c r="B135" i="6"/>
  <c r="A135" i="6"/>
  <c r="J134" i="6"/>
  <c r="I134" i="6"/>
  <c r="H134" i="6"/>
  <c r="E134" i="6"/>
  <c r="D134" i="6"/>
  <c r="C134" i="6"/>
  <c r="B134" i="6"/>
  <c r="A134" i="6"/>
  <c r="F134" i="6" s="1"/>
  <c r="J133" i="6"/>
  <c r="I133" i="6"/>
  <c r="H133" i="6"/>
  <c r="D133" i="6"/>
  <c r="C133" i="6"/>
  <c r="B133" i="6"/>
  <c r="A133" i="6"/>
  <c r="F133" i="6" s="1"/>
  <c r="J132" i="6"/>
  <c r="I132" i="6"/>
  <c r="H132" i="6"/>
  <c r="E132" i="6"/>
  <c r="D132" i="6"/>
  <c r="C132" i="6"/>
  <c r="B132" i="6"/>
  <c r="A132" i="6"/>
  <c r="F132" i="6" s="1"/>
  <c r="J131" i="6"/>
  <c r="I131" i="6"/>
  <c r="H131" i="6"/>
  <c r="D131" i="6"/>
  <c r="C131" i="6"/>
  <c r="B131" i="6"/>
  <c r="A131" i="6"/>
  <c r="F131" i="6" s="1"/>
  <c r="J130" i="6"/>
  <c r="I130" i="6"/>
  <c r="H130" i="6"/>
  <c r="D130" i="6"/>
  <c r="C130" i="6"/>
  <c r="B130" i="6"/>
  <c r="A130" i="6"/>
  <c r="F130" i="6" s="1"/>
  <c r="J129" i="6"/>
  <c r="I129" i="6"/>
  <c r="H129" i="6"/>
  <c r="D129" i="6"/>
  <c r="C129" i="6"/>
  <c r="B129" i="6"/>
  <c r="A129" i="6"/>
  <c r="J128" i="6"/>
  <c r="I128" i="6"/>
  <c r="H128" i="6"/>
  <c r="E128" i="6"/>
  <c r="D128" i="6"/>
  <c r="C128" i="6"/>
  <c r="B128" i="6"/>
  <c r="A128" i="6"/>
  <c r="F128" i="6" s="1"/>
  <c r="J127" i="6"/>
  <c r="I127" i="6"/>
  <c r="H127" i="6"/>
  <c r="E127" i="6"/>
  <c r="G127" i="6" s="1"/>
  <c r="D127" i="6"/>
  <c r="C127" i="6"/>
  <c r="B127" i="6"/>
  <c r="A127" i="6"/>
  <c r="F127" i="6" s="1"/>
  <c r="J126" i="6"/>
  <c r="I126" i="6"/>
  <c r="H126" i="6"/>
  <c r="D126" i="6"/>
  <c r="C126" i="6"/>
  <c r="B126" i="6"/>
  <c r="A126" i="6"/>
  <c r="F126" i="6" s="1"/>
  <c r="J125" i="6"/>
  <c r="I125" i="6"/>
  <c r="H125" i="6"/>
  <c r="D125" i="6"/>
  <c r="C125" i="6"/>
  <c r="B125" i="6"/>
  <c r="A125" i="6"/>
  <c r="J124" i="6"/>
  <c r="I124" i="6"/>
  <c r="H124" i="6"/>
  <c r="E124" i="6"/>
  <c r="D124" i="6"/>
  <c r="C124" i="6"/>
  <c r="B124" i="6"/>
  <c r="A124" i="6"/>
  <c r="F124" i="6" s="1"/>
  <c r="J123" i="6"/>
  <c r="I123" i="6"/>
  <c r="H123" i="6"/>
  <c r="E123" i="6"/>
  <c r="G123" i="6" s="1"/>
  <c r="D123" i="6"/>
  <c r="C123" i="6"/>
  <c r="B123" i="6"/>
  <c r="A123" i="6"/>
  <c r="F123" i="6" s="1"/>
  <c r="J122" i="6"/>
  <c r="I122" i="6"/>
  <c r="H122" i="6"/>
  <c r="D122" i="6"/>
  <c r="C122" i="6"/>
  <c r="B122" i="6"/>
  <c r="A122" i="6"/>
  <c r="F122" i="6" s="1"/>
  <c r="J121" i="6"/>
  <c r="I121" i="6"/>
  <c r="H121" i="6"/>
  <c r="D121" i="6"/>
  <c r="C121" i="6"/>
  <c r="B121" i="6"/>
  <c r="A121" i="6"/>
  <c r="J120" i="6"/>
  <c r="I120" i="6"/>
  <c r="H120" i="6"/>
  <c r="E120" i="6"/>
  <c r="D120" i="6"/>
  <c r="C120" i="6"/>
  <c r="B120" i="6"/>
  <c r="A120" i="6"/>
  <c r="F120" i="6" s="1"/>
  <c r="J119" i="6"/>
  <c r="I119" i="6"/>
  <c r="H119" i="6"/>
  <c r="E119" i="6"/>
  <c r="D119" i="6"/>
  <c r="C119" i="6"/>
  <c r="B119" i="6"/>
  <c r="A119" i="6"/>
  <c r="F119" i="6" s="1"/>
  <c r="J118" i="6"/>
  <c r="I118" i="6"/>
  <c r="H118" i="6"/>
  <c r="D118" i="6"/>
  <c r="C118" i="6"/>
  <c r="B118" i="6"/>
  <c r="A118" i="6"/>
  <c r="F118" i="6" s="1"/>
  <c r="J117" i="6"/>
  <c r="I117" i="6"/>
  <c r="H117" i="6"/>
  <c r="D117" i="6"/>
  <c r="C117" i="6"/>
  <c r="B117" i="6"/>
  <c r="A117" i="6"/>
  <c r="J116" i="6"/>
  <c r="I116" i="6"/>
  <c r="H116" i="6"/>
  <c r="E116" i="6"/>
  <c r="D116" i="6"/>
  <c r="C116" i="6"/>
  <c r="B116" i="6"/>
  <c r="A116" i="6"/>
  <c r="F116" i="6" s="1"/>
  <c r="J115" i="6"/>
  <c r="I115" i="6"/>
  <c r="H115" i="6"/>
  <c r="E115" i="6"/>
  <c r="D115" i="6"/>
  <c r="C115" i="6"/>
  <c r="B115" i="6"/>
  <c r="A115" i="6"/>
  <c r="F115" i="6" s="1"/>
  <c r="J114" i="6"/>
  <c r="I114" i="6"/>
  <c r="H114" i="6"/>
  <c r="D114" i="6"/>
  <c r="C114" i="6"/>
  <c r="B114" i="6"/>
  <c r="A114" i="6"/>
  <c r="F114" i="6" s="1"/>
  <c r="J113" i="6"/>
  <c r="I113" i="6"/>
  <c r="H113" i="6"/>
  <c r="D113" i="6"/>
  <c r="C113" i="6"/>
  <c r="B113" i="6"/>
  <c r="A113" i="6"/>
  <c r="J112" i="6"/>
  <c r="I112" i="6"/>
  <c r="H112" i="6"/>
  <c r="E112" i="6"/>
  <c r="D112" i="6"/>
  <c r="C112" i="6"/>
  <c r="B112" i="6"/>
  <c r="A112" i="6"/>
  <c r="F112" i="6" s="1"/>
  <c r="J111" i="6"/>
  <c r="I111" i="6"/>
  <c r="H111" i="6"/>
  <c r="E111" i="6"/>
  <c r="D111" i="6"/>
  <c r="C111" i="6"/>
  <c r="B111" i="6"/>
  <c r="A111" i="6"/>
  <c r="F111" i="6" s="1"/>
  <c r="J110" i="6"/>
  <c r="I110" i="6"/>
  <c r="H110" i="6"/>
  <c r="D110" i="6"/>
  <c r="C110" i="6"/>
  <c r="B110" i="6"/>
  <c r="A110" i="6"/>
  <c r="F110" i="6" s="1"/>
  <c r="J109" i="6"/>
  <c r="I109" i="6"/>
  <c r="H109" i="6"/>
  <c r="F109" i="6"/>
  <c r="E109" i="6"/>
  <c r="G109" i="6" s="1"/>
  <c r="D109" i="6"/>
  <c r="C109" i="6"/>
  <c r="B109" i="6"/>
  <c r="A109" i="6"/>
  <c r="J108" i="6"/>
  <c r="I108" i="6"/>
  <c r="H108" i="6"/>
  <c r="E108" i="6"/>
  <c r="G108" i="6" s="1"/>
  <c r="D108" i="6"/>
  <c r="C108" i="6"/>
  <c r="B108" i="6"/>
  <c r="A108" i="6"/>
  <c r="F108" i="6" s="1"/>
  <c r="J107" i="6"/>
  <c r="I107" i="6"/>
  <c r="H107" i="6"/>
  <c r="E107" i="6"/>
  <c r="D107" i="6"/>
  <c r="C107" i="6"/>
  <c r="B107" i="6"/>
  <c r="A107" i="6"/>
  <c r="F107" i="6" s="1"/>
  <c r="J106" i="6"/>
  <c r="I106" i="6"/>
  <c r="H106" i="6"/>
  <c r="G106" i="6"/>
  <c r="K106" i="6" s="1"/>
  <c r="E106" i="6"/>
  <c r="D106" i="6"/>
  <c r="C106" i="6"/>
  <c r="B106" i="6"/>
  <c r="A106" i="6"/>
  <c r="F106" i="6" s="1"/>
  <c r="J105" i="6"/>
  <c r="I105" i="6"/>
  <c r="H105" i="6"/>
  <c r="F105" i="6"/>
  <c r="D105" i="6"/>
  <c r="C105" i="6"/>
  <c r="B105" i="6"/>
  <c r="A105" i="6"/>
  <c r="E105" i="6" s="1"/>
  <c r="J104" i="6"/>
  <c r="I104" i="6"/>
  <c r="H104" i="6"/>
  <c r="F104" i="6"/>
  <c r="E104" i="6"/>
  <c r="G104" i="6" s="1"/>
  <c r="D104" i="6"/>
  <c r="C104" i="6"/>
  <c r="B104" i="6"/>
  <c r="A104" i="6"/>
  <c r="J103" i="6"/>
  <c r="I103" i="6"/>
  <c r="H103" i="6"/>
  <c r="E103" i="6"/>
  <c r="G103" i="6" s="1"/>
  <c r="D103" i="6"/>
  <c r="C103" i="6"/>
  <c r="B103" i="6"/>
  <c r="A103" i="6"/>
  <c r="F103" i="6" s="1"/>
  <c r="J102" i="6"/>
  <c r="I102" i="6"/>
  <c r="H102" i="6"/>
  <c r="D102" i="6"/>
  <c r="C102" i="6"/>
  <c r="B102" i="6"/>
  <c r="A102" i="6"/>
  <c r="J101" i="6"/>
  <c r="I101" i="6"/>
  <c r="H101" i="6"/>
  <c r="D101" i="6"/>
  <c r="C101" i="6"/>
  <c r="B101" i="6"/>
  <c r="A101" i="6"/>
  <c r="F101" i="6" s="1"/>
  <c r="J100" i="6"/>
  <c r="I100" i="6"/>
  <c r="H100" i="6"/>
  <c r="E100" i="6"/>
  <c r="D100" i="6"/>
  <c r="C100" i="6"/>
  <c r="B100" i="6"/>
  <c r="A100" i="6"/>
  <c r="F100" i="6" s="1"/>
  <c r="K99" i="6"/>
  <c r="J99" i="6"/>
  <c r="I99" i="6"/>
  <c r="H99" i="6"/>
  <c r="F99" i="6"/>
  <c r="G99" i="6" s="1"/>
  <c r="L99" i="6" s="1"/>
  <c r="E99" i="6"/>
  <c r="D99" i="6"/>
  <c r="C99" i="6"/>
  <c r="B99" i="6"/>
  <c r="A99" i="6"/>
  <c r="J98" i="6"/>
  <c r="I98" i="6"/>
  <c r="H98" i="6"/>
  <c r="D98" i="6"/>
  <c r="C98" i="6"/>
  <c r="B98" i="6"/>
  <c r="A98" i="6"/>
  <c r="F98" i="6" s="1"/>
  <c r="J97" i="6"/>
  <c r="I97" i="6"/>
  <c r="H97" i="6"/>
  <c r="F97" i="6"/>
  <c r="E97" i="6"/>
  <c r="G97" i="6" s="1"/>
  <c r="D97" i="6"/>
  <c r="C97" i="6"/>
  <c r="B97" i="6"/>
  <c r="A97" i="6"/>
  <c r="J96" i="6"/>
  <c r="I96" i="6"/>
  <c r="H96" i="6"/>
  <c r="D96" i="6"/>
  <c r="C96" i="6"/>
  <c r="B96" i="6"/>
  <c r="A96" i="6"/>
  <c r="E96" i="6" s="1"/>
  <c r="J95" i="6"/>
  <c r="I95" i="6"/>
  <c r="H95" i="6"/>
  <c r="D95" i="6"/>
  <c r="C95" i="6"/>
  <c r="B95" i="6"/>
  <c r="A95" i="6"/>
  <c r="J94" i="6"/>
  <c r="I94" i="6"/>
  <c r="H94" i="6"/>
  <c r="E94" i="6"/>
  <c r="D94" i="6"/>
  <c r="C94" i="6"/>
  <c r="B94" i="6"/>
  <c r="A94" i="6"/>
  <c r="F94" i="6" s="1"/>
  <c r="J93" i="6"/>
  <c r="I93" i="6"/>
  <c r="H93" i="6"/>
  <c r="D93" i="6"/>
  <c r="C93" i="6"/>
  <c r="B93" i="6"/>
  <c r="A93" i="6"/>
  <c r="F93" i="6" s="1"/>
  <c r="J92" i="6"/>
  <c r="I92" i="6"/>
  <c r="H92" i="6"/>
  <c r="E92" i="6"/>
  <c r="D92" i="6"/>
  <c r="G92" i="6" s="1"/>
  <c r="C92" i="6"/>
  <c r="B92" i="6"/>
  <c r="A92" i="6"/>
  <c r="F92" i="6" s="1"/>
  <c r="J91" i="6"/>
  <c r="I91" i="6"/>
  <c r="H91" i="6"/>
  <c r="D91" i="6"/>
  <c r="C91" i="6"/>
  <c r="B91" i="6"/>
  <c r="A91" i="6"/>
  <c r="F91" i="6" s="1"/>
  <c r="J90" i="6"/>
  <c r="I90" i="6"/>
  <c r="H90" i="6"/>
  <c r="E90" i="6"/>
  <c r="D90" i="6"/>
  <c r="G90" i="6" s="1"/>
  <c r="C90" i="6"/>
  <c r="B90" i="6"/>
  <c r="A90" i="6"/>
  <c r="F90" i="6" s="1"/>
  <c r="J89" i="6"/>
  <c r="I89" i="6"/>
  <c r="H89" i="6"/>
  <c r="D89" i="6"/>
  <c r="C89" i="6"/>
  <c r="B89" i="6"/>
  <c r="A89" i="6"/>
  <c r="F89" i="6" s="1"/>
  <c r="J88" i="6"/>
  <c r="I88" i="6"/>
  <c r="H88" i="6"/>
  <c r="G88" i="6"/>
  <c r="K88" i="6" s="1"/>
  <c r="E88" i="6"/>
  <c r="D88" i="6"/>
  <c r="C88" i="6"/>
  <c r="B88" i="6"/>
  <c r="A88" i="6"/>
  <c r="F88" i="6" s="1"/>
  <c r="J87" i="6"/>
  <c r="I87" i="6"/>
  <c r="H87" i="6"/>
  <c r="D87" i="6"/>
  <c r="C87" i="6"/>
  <c r="B87" i="6"/>
  <c r="A87" i="6"/>
  <c r="J86" i="6"/>
  <c r="I86" i="6"/>
  <c r="H86" i="6"/>
  <c r="E86" i="6"/>
  <c r="D86" i="6"/>
  <c r="G86" i="6" s="1"/>
  <c r="C86" i="6"/>
  <c r="B86" i="6"/>
  <c r="A86" i="6"/>
  <c r="F86" i="6" s="1"/>
  <c r="J85" i="6"/>
  <c r="I85" i="6"/>
  <c r="H85" i="6"/>
  <c r="D85" i="6"/>
  <c r="C85" i="6"/>
  <c r="B85" i="6"/>
  <c r="A85" i="6"/>
  <c r="J84" i="6"/>
  <c r="I84" i="6"/>
  <c r="H84" i="6"/>
  <c r="G84" i="6"/>
  <c r="K84" i="6" s="1"/>
  <c r="E84" i="6"/>
  <c r="D84" i="6"/>
  <c r="C84" i="6"/>
  <c r="B84" i="6"/>
  <c r="A84" i="6"/>
  <c r="F84" i="6" s="1"/>
  <c r="J83" i="6"/>
  <c r="I83" i="6"/>
  <c r="H83" i="6"/>
  <c r="D83" i="6"/>
  <c r="C83" i="6"/>
  <c r="B83" i="6"/>
  <c r="A83" i="6"/>
  <c r="J82" i="6"/>
  <c r="I82" i="6"/>
  <c r="H82" i="6"/>
  <c r="E82" i="6"/>
  <c r="D82" i="6"/>
  <c r="G82" i="6" s="1"/>
  <c r="C82" i="6"/>
  <c r="B82" i="6"/>
  <c r="A82" i="6"/>
  <c r="F82" i="6" s="1"/>
  <c r="J81" i="6"/>
  <c r="I81" i="6"/>
  <c r="H81" i="6"/>
  <c r="D81" i="6"/>
  <c r="C81" i="6"/>
  <c r="B81" i="6"/>
  <c r="A81" i="6"/>
  <c r="J80" i="6"/>
  <c r="I80" i="6"/>
  <c r="H80" i="6"/>
  <c r="E80" i="6"/>
  <c r="D80" i="6"/>
  <c r="G80" i="6" s="1"/>
  <c r="C80" i="6"/>
  <c r="B80" i="6"/>
  <c r="A80" i="6"/>
  <c r="F80" i="6" s="1"/>
  <c r="J79" i="6"/>
  <c r="I79" i="6"/>
  <c r="H79" i="6"/>
  <c r="D79" i="6"/>
  <c r="C79" i="6"/>
  <c r="B79" i="6"/>
  <c r="A79" i="6"/>
  <c r="J78" i="6"/>
  <c r="I78" i="6"/>
  <c r="H78" i="6"/>
  <c r="G78" i="6"/>
  <c r="K78" i="6" s="1"/>
  <c r="E78" i="6"/>
  <c r="D78" i="6"/>
  <c r="C78" i="6"/>
  <c r="B78" i="6"/>
  <c r="A78" i="6"/>
  <c r="F78" i="6" s="1"/>
  <c r="J77" i="6"/>
  <c r="I77" i="6"/>
  <c r="H77" i="6"/>
  <c r="D77" i="6"/>
  <c r="C77" i="6"/>
  <c r="B77" i="6"/>
  <c r="A77" i="6"/>
  <c r="J76" i="6"/>
  <c r="I76" i="6"/>
  <c r="H76" i="6"/>
  <c r="E76" i="6"/>
  <c r="G76" i="6" s="1"/>
  <c r="D76" i="6"/>
  <c r="C76" i="6"/>
  <c r="B76" i="6"/>
  <c r="A76" i="6"/>
  <c r="F76" i="6" s="1"/>
  <c r="J75" i="6"/>
  <c r="I75" i="6"/>
  <c r="H75" i="6"/>
  <c r="D75" i="6"/>
  <c r="C75" i="6"/>
  <c r="B75" i="6"/>
  <c r="A75" i="6"/>
  <c r="J74" i="6"/>
  <c r="I74" i="6"/>
  <c r="H74" i="6"/>
  <c r="E74" i="6"/>
  <c r="G74" i="6" s="1"/>
  <c r="D74" i="6"/>
  <c r="C74" i="6"/>
  <c r="B74" i="6"/>
  <c r="A74" i="6"/>
  <c r="F74" i="6" s="1"/>
  <c r="J73" i="6"/>
  <c r="I73" i="6"/>
  <c r="H73" i="6"/>
  <c r="D73" i="6"/>
  <c r="C73" i="6"/>
  <c r="B73" i="6"/>
  <c r="A73" i="6"/>
  <c r="J72" i="6"/>
  <c r="I72" i="6"/>
  <c r="H72" i="6"/>
  <c r="E72" i="6"/>
  <c r="D72" i="6"/>
  <c r="C72" i="6"/>
  <c r="B72" i="6"/>
  <c r="A72" i="6"/>
  <c r="F72" i="6" s="1"/>
  <c r="G72" i="6" s="1"/>
  <c r="J71" i="6"/>
  <c r="I71" i="6"/>
  <c r="H71" i="6"/>
  <c r="D71" i="6"/>
  <c r="C71" i="6"/>
  <c r="B71" i="6"/>
  <c r="A71" i="6"/>
  <c r="J70" i="6"/>
  <c r="I70" i="6"/>
  <c r="H70" i="6"/>
  <c r="E70" i="6"/>
  <c r="D70" i="6"/>
  <c r="G70" i="6" s="1"/>
  <c r="C70" i="6"/>
  <c r="B70" i="6"/>
  <c r="A70" i="6"/>
  <c r="F70" i="6" s="1"/>
  <c r="J69" i="6"/>
  <c r="I69" i="6"/>
  <c r="H69" i="6"/>
  <c r="D69" i="6"/>
  <c r="C69" i="6"/>
  <c r="B69" i="6"/>
  <c r="A69" i="6"/>
  <c r="J68" i="6"/>
  <c r="I68" i="6"/>
  <c r="H68" i="6"/>
  <c r="G68" i="6"/>
  <c r="K68" i="6" s="1"/>
  <c r="E68" i="6"/>
  <c r="D68" i="6"/>
  <c r="C68" i="6"/>
  <c r="B68" i="6"/>
  <c r="A68" i="6"/>
  <c r="F68" i="6" s="1"/>
  <c r="J67" i="6"/>
  <c r="I67" i="6"/>
  <c r="H67" i="6"/>
  <c r="D67" i="6"/>
  <c r="C67" i="6"/>
  <c r="B67" i="6"/>
  <c r="A67" i="6"/>
  <c r="J66" i="6"/>
  <c r="I66" i="6"/>
  <c r="H66" i="6"/>
  <c r="E66" i="6"/>
  <c r="D66" i="6"/>
  <c r="G66" i="6" s="1"/>
  <c r="C66" i="6"/>
  <c r="B66" i="6"/>
  <c r="A66" i="6"/>
  <c r="F66" i="6" s="1"/>
  <c r="J65" i="6"/>
  <c r="I65" i="6"/>
  <c r="H65" i="6"/>
  <c r="D65" i="6"/>
  <c r="C65" i="6"/>
  <c r="B65" i="6"/>
  <c r="A65" i="6"/>
  <c r="J64" i="6"/>
  <c r="I64" i="6"/>
  <c r="H64" i="6"/>
  <c r="E64" i="6"/>
  <c r="D64" i="6"/>
  <c r="G64" i="6" s="1"/>
  <c r="C64" i="6"/>
  <c r="B64" i="6"/>
  <c r="A64" i="6"/>
  <c r="F64" i="6" s="1"/>
  <c r="J63" i="6"/>
  <c r="I63" i="6"/>
  <c r="H63" i="6"/>
  <c r="D63" i="6"/>
  <c r="C63" i="6"/>
  <c r="B63" i="6"/>
  <c r="A63" i="6"/>
  <c r="J62" i="6"/>
  <c r="I62" i="6"/>
  <c r="H62" i="6"/>
  <c r="G62" i="6"/>
  <c r="K62" i="6" s="1"/>
  <c r="E62" i="6"/>
  <c r="D62" i="6"/>
  <c r="C62" i="6"/>
  <c r="B62" i="6"/>
  <c r="A62" i="6"/>
  <c r="F62" i="6" s="1"/>
  <c r="J61" i="6"/>
  <c r="I61" i="6"/>
  <c r="H61" i="6"/>
  <c r="D61" i="6"/>
  <c r="C61" i="6"/>
  <c r="B61" i="6"/>
  <c r="A61" i="6"/>
  <c r="J60" i="6"/>
  <c r="I60" i="6"/>
  <c r="H60" i="6"/>
  <c r="E60" i="6"/>
  <c r="G60" i="6" s="1"/>
  <c r="D60" i="6"/>
  <c r="C60" i="6"/>
  <c r="B60" i="6"/>
  <c r="A60" i="6"/>
  <c r="F60" i="6" s="1"/>
  <c r="J59" i="6"/>
  <c r="I59" i="6"/>
  <c r="H59" i="6"/>
  <c r="E59" i="6"/>
  <c r="D59" i="6"/>
  <c r="G59" i="6" s="1"/>
  <c r="K59" i="6" s="1"/>
  <c r="C59" i="6"/>
  <c r="B59" i="6"/>
  <c r="A59" i="6"/>
  <c r="F59" i="6" s="1"/>
  <c r="J58" i="6"/>
  <c r="I58" i="6"/>
  <c r="H58" i="6"/>
  <c r="G58" i="6"/>
  <c r="K58" i="6" s="1"/>
  <c r="F58" i="6"/>
  <c r="E58" i="6"/>
  <c r="D58" i="6"/>
  <c r="C58" i="6"/>
  <c r="B58" i="6"/>
  <c r="A58" i="6"/>
  <c r="J57" i="6"/>
  <c r="I57" i="6"/>
  <c r="H57" i="6"/>
  <c r="D57" i="6"/>
  <c r="C57" i="6"/>
  <c r="B57" i="6"/>
  <c r="A57" i="6"/>
  <c r="F57" i="6" s="1"/>
  <c r="J56" i="6"/>
  <c r="I56" i="6"/>
  <c r="H56" i="6"/>
  <c r="F56" i="6"/>
  <c r="E56" i="6"/>
  <c r="D56" i="6"/>
  <c r="G56" i="6" s="1"/>
  <c r="C56" i="6"/>
  <c r="B56" i="6"/>
  <c r="A56" i="6"/>
  <c r="J55" i="6"/>
  <c r="I55" i="6"/>
  <c r="H55" i="6"/>
  <c r="E55" i="6"/>
  <c r="D55" i="6"/>
  <c r="C55" i="6"/>
  <c r="B55" i="6"/>
  <c r="A55" i="6"/>
  <c r="F55" i="6" s="1"/>
  <c r="J54" i="6"/>
  <c r="I54" i="6"/>
  <c r="H54" i="6"/>
  <c r="D54" i="6"/>
  <c r="C54" i="6"/>
  <c r="B54" i="6"/>
  <c r="A54" i="6"/>
  <c r="F54" i="6" s="1"/>
  <c r="J53" i="6"/>
  <c r="I53" i="6"/>
  <c r="H53" i="6"/>
  <c r="D53" i="6"/>
  <c r="C53" i="6"/>
  <c r="B53" i="6"/>
  <c r="A53" i="6"/>
  <c r="F53" i="6" s="1"/>
  <c r="J52" i="6"/>
  <c r="I52" i="6"/>
  <c r="H52" i="6"/>
  <c r="F52" i="6"/>
  <c r="G52" i="6" s="1"/>
  <c r="E52" i="6"/>
  <c r="D52" i="6"/>
  <c r="C52" i="6"/>
  <c r="B52" i="6"/>
  <c r="A52" i="6"/>
  <c r="J51" i="6"/>
  <c r="I51" i="6"/>
  <c r="H51" i="6"/>
  <c r="D51" i="6"/>
  <c r="C51" i="6"/>
  <c r="B51" i="6"/>
  <c r="A51" i="6"/>
  <c r="F51" i="6" s="1"/>
  <c r="J50" i="6"/>
  <c r="I50" i="6"/>
  <c r="H50" i="6"/>
  <c r="D50" i="6"/>
  <c r="C50" i="6"/>
  <c r="B50" i="6"/>
  <c r="A50" i="6"/>
  <c r="F50" i="6" s="1"/>
  <c r="J49" i="6"/>
  <c r="I49" i="6"/>
  <c r="H49" i="6"/>
  <c r="E49" i="6"/>
  <c r="D49" i="6"/>
  <c r="C49" i="6"/>
  <c r="B49" i="6"/>
  <c r="A49" i="6"/>
  <c r="F49" i="6" s="1"/>
  <c r="J48" i="6"/>
  <c r="I48" i="6"/>
  <c r="H48" i="6"/>
  <c r="D48" i="6"/>
  <c r="C48" i="6"/>
  <c r="B48" i="6"/>
  <c r="A48" i="6"/>
  <c r="E48" i="6" s="1"/>
  <c r="J47" i="6"/>
  <c r="I47" i="6"/>
  <c r="H47" i="6"/>
  <c r="D47" i="6"/>
  <c r="C47" i="6"/>
  <c r="B47" i="6"/>
  <c r="A47" i="6"/>
  <c r="F47" i="6" s="1"/>
  <c r="J46" i="6"/>
  <c r="I46" i="6"/>
  <c r="H46" i="6"/>
  <c r="F46" i="6"/>
  <c r="E46" i="6"/>
  <c r="D46" i="6"/>
  <c r="G46" i="6" s="1"/>
  <c r="C46" i="6"/>
  <c r="B46" i="6"/>
  <c r="A46" i="6"/>
  <c r="J45" i="6"/>
  <c r="I45" i="6"/>
  <c r="H45" i="6"/>
  <c r="E45" i="6"/>
  <c r="D45" i="6"/>
  <c r="C45" i="6"/>
  <c r="B45" i="6"/>
  <c r="A45" i="6"/>
  <c r="F45" i="6" s="1"/>
  <c r="J44" i="6"/>
  <c r="I44" i="6"/>
  <c r="H44" i="6"/>
  <c r="D44" i="6"/>
  <c r="C44" i="6"/>
  <c r="B44" i="6"/>
  <c r="A44" i="6"/>
  <c r="F44" i="6" s="1"/>
  <c r="J43" i="6"/>
  <c r="I43" i="6"/>
  <c r="H43" i="6"/>
  <c r="E43" i="6"/>
  <c r="D43" i="6"/>
  <c r="G43" i="6" s="1"/>
  <c r="K43" i="6" s="1"/>
  <c r="C43" i="6"/>
  <c r="B43" i="6"/>
  <c r="A43" i="6"/>
  <c r="F43" i="6" s="1"/>
  <c r="J42" i="6"/>
  <c r="I42" i="6"/>
  <c r="H42" i="6"/>
  <c r="G42" i="6"/>
  <c r="K42" i="6" s="1"/>
  <c r="F42" i="6"/>
  <c r="E42" i="6"/>
  <c r="D42" i="6"/>
  <c r="C42" i="6"/>
  <c r="B42" i="6"/>
  <c r="A42" i="6"/>
  <c r="J41" i="6"/>
  <c r="I41" i="6"/>
  <c r="H41" i="6"/>
  <c r="D41" i="6"/>
  <c r="C41" i="6"/>
  <c r="B41" i="6"/>
  <c r="A41" i="6"/>
  <c r="F41" i="6" s="1"/>
  <c r="J40" i="6"/>
  <c r="I40" i="6"/>
  <c r="H40" i="6"/>
  <c r="F40" i="6"/>
  <c r="E40" i="6"/>
  <c r="D40" i="6"/>
  <c r="G40" i="6" s="1"/>
  <c r="C40" i="6"/>
  <c r="B40" i="6"/>
  <c r="A40" i="6"/>
  <c r="J39" i="6"/>
  <c r="I39" i="6"/>
  <c r="H39" i="6"/>
  <c r="E39" i="6"/>
  <c r="D39" i="6"/>
  <c r="C39" i="6"/>
  <c r="B39" i="6"/>
  <c r="A39" i="6"/>
  <c r="F39" i="6" s="1"/>
  <c r="J38" i="6"/>
  <c r="I38" i="6"/>
  <c r="H38" i="6"/>
  <c r="D38" i="6"/>
  <c r="C38" i="6"/>
  <c r="B38" i="6"/>
  <c r="A38" i="6"/>
  <c r="F38" i="6" s="1"/>
  <c r="J37" i="6"/>
  <c r="I37" i="6"/>
  <c r="H37" i="6"/>
  <c r="D37" i="6"/>
  <c r="C37" i="6"/>
  <c r="B37" i="6"/>
  <c r="A37" i="6"/>
  <c r="F37" i="6" s="1"/>
  <c r="J36" i="6"/>
  <c r="I36" i="6"/>
  <c r="H36" i="6"/>
  <c r="F36" i="6"/>
  <c r="G36" i="6" s="1"/>
  <c r="E36" i="6"/>
  <c r="D36" i="6"/>
  <c r="C36" i="6"/>
  <c r="B36" i="6"/>
  <c r="A36" i="6"/>
  <c r="J35" i="6"/>
  <c r="I35" i="6"/>
  <c r="H35" i="6"/>
  <c r="D35" i="6"/>
  <c r="C35" i="6"/>
  <c r="B35" i="6"/>
  <c r="A35" i="6"/>
  <c r="F35" i="6" s="1"/>
  <c r="J34" i="6"/>
  <c r="I34" i="6"/>
  <c r="H34" i="6"/>
  <c r="D34" i="6"/>
  <c r="C34" i="6"/>
  <c r="B34" i="6"/>
  <c r="A34" i="6"/>
  <c r="F34" i="6" s="1"/>
  <c r="J33" i="6"/>
  <c r="I33" i="6"/>
  <c r="H33" i="6"/>
  <c r="F33" i="6"/>
  <c r="E33" i="6"/>
  <c r="D33" i="6"/>
  <c r="C33" i="6"/>
  <c r="B33" i="6"/>
  <c r="A33" i="6"/>
  <c r="J32" i="6"/>
  <c r="I32" i="6"/>
  <c r="H32" i="6"/>
  <c r="D32" i="6"/>
  <c r="C32" i="6"/>
  <c r="B32" i="6"/>
  <c r="A32" i="6"/>
  <c r="F32" i="6" s="1"/>
  <c r="J31" i="6"/>
  <c r="I31" i="6"/>
  <c r="H31" i="6"/>
  <c r="F31" i="6"/>
  <c r="E31" i="6"/>
  <c r="D31" i="6"/>
  <c r="G31" i="6" s="1"/>
  <c r="L31" i="6" s="1"/>
  <c r="C31" i="6"/>
  <c r="B31" i="6"/>
  <c r="A31" i="6"/>
  <c r="J30" i="6"/>
  <c r="I30" i="6"/>
  <c r="H30" i="6"/>
  <c r="G30" i="6"/>
  <c r="K30" i="6" s="1"/>
  <c r="F30" i="6"/>
  <c r="E30" i="6"/>
  <c r="D30" i="6"/>
  <c r="C30" i="6"/>
  <c r="B30" i="6"/>
  <c r="A30" i="6"/>
  <c r="J29" i="6"/>
  <c r="I29" i="6"/>
  <c r="H29" i="6"/>
  <c r="D29" i="6"/>
  <c r="C29" i="6"/>
  <c r="B29" i="6"/>
  <c r="A29" i="6"/>
  <c r="F29" i="6" s="1"/>
  <c r="J28" i="6"/>
  <c r="I28" i="6"/>
  <c r="H28" i="6"/>
  <c r="G28" i="6"/>
  <c r="L28" i="6" s="1"/>
  <c r="F28" i="6"/>
  <c r="E28" i="6"/>
  <c r="D28" i="6"/>
  <c r="C28" i="6"/>
  <c r="B28" i="6"/>
  <c r="A28" i="6"/>
  <c r="J27" i="6"/>
  <c r="I27" i="6"/>
  <c r="H27" i="6"/>
  <c r="D27" i="6"/>
  <c r="C27" i="6"/>
  <c r="B27" i="6"/>
  <c r="A27" i="6"/>
  <c r="F27" i="6" s="1"/>
  <c r="J26" i="6"/>
  <c r="I26" i="6"/>
  <c r="H26" i="6"/>
  <c r="G26" i="6"/>
  <c r="L26" i="6" s="1"/>
  <c r="F26" i="6"/>
  <c r="E26" i="6"/>
  <c r="D26" i="6"/>
  <c r="C26" i="6"/>
  <c r="B26" i="6"/>
  <c r="A26" i="6"/>
  <c r="J25" i="6"/>
  <c r="I25" i="6"/>
  <c r="H25" i="6"/>
  <c r="D25" i="6"/>
  <c r="C25" i="6"/>
  <c r="B25" i="6"/>
  <c r="A25" i="6"/>
  <c r="F25" i="6" s="1"/>
  <c r="J24" i="6"/>
  <c r="I24" i="6"/>
  <c r="H24" i="6"/>
  <c r="G24" i="6"/>
  <c r="L24" i="6" s="1"/>
  <c r="F24" i="6"/>
  <c r="E24" i="6"/>
  <c r="D24" i="6"/>
  <c r="C24" i="6"/>
  <c r="B24" i="6"/>
  <c r="A24" i="6"/>
  <c r="J23" i="6"/>
  <c r="I23" i="6"/>
  <c r="H23" i="6"/>
  <c r="D23" i="6"/>
  <c r="C23" i="6"/>
  <c r="B23" i="6"/>
  <c r="A23" i="6"/>
  <c r="F23" i="6" s="1"/>
  <c r="J22" i="6"/>
  <c r="I22" i="6"/>
  <c r="H22" i="6"/>
  <c r="G22" i="6"/>
  <c r="L22" i="6" s="1"/>
  <c r="F22" i="6"/>
  <c r="E22" i="6"/>
  <c r="D22" i="6"/>
  <c r="C22" i="6"/>
  <c r="B22" i="6"/>
  <c r="A22" i="6"/>
  <c r="J21" i="6"/>
  <c r="I21" i="6"/>
  <c r="H21" i="6"/>
  <c r="D21" i="6"/>
  <c r="C21" i="6"/>
  <c r="B21" i="6"/>
  <c r="A21" i="6"/>
  <c r="F21" i="6" s="1"/>
  <c r="J20" i="6"/>
  <c r="I20" i="6"/>
  <c r="H20" i="6"/>
  <c r="G20" i="6"/>
  <c r="L20" i="6" s="1"/>
  <c r="F20" i="6"/>
  <c r="E20" i="6"/>
  <c r="D20" i="6"/>
  <c r="C20" i="6"/>
  <c r="B20" i="6"/>
  <c r="A20" i="6"/>
  <c r="J19" i="6"/>
  <c r="I19" i="6"/>
  <c r="H19" i="6"/>
  <c r="D19" i="6"/>
  <c r="C19" i="6"/>
  <c r="B19" i="6"/>
  <c r="A19" i="6"/>
  <c r="F19" i="6" s="1"/>
  <c r="J18" i="6"/>
  <c r="I18" i="6"/>
  <c r="H18" i="6"/>
  <c r="G18" i="6"/>
  <c r="L18" i="6" s="1"/>
  <c r="F18" i="6"/>
  <c r="E18" i="6"/>
  <c r="D18" i="6"/>
  <c r="C18" i="6"/>
  <c r="B18" i="6"/>
  <c r="A18" i="6"/>
  <c r="J17" i="6"/>
  <c r="I17" i="6"/>
  <c r="H17" i="6"/>
  <c r="D17" i="6"/>
  <c r="C17" i="6"/>
  <c r="B17" i="6"/>
  <c r="A17" i="6"/>
  <c r="F17" i="6" s="1"/>
  <c r="J16" i="6"/>
  <c r="I16" i="6"/>
  <c r="H16" i="6"/>
  <c r="G16" i="6"/>
  <c r="L16" i="6" s="1"/>
  <c r="F16" i="6"/>
  <c r="E16" i="6"/>
  <c r="D16" i="6"/>
  <c r="C16" i="6"/>
  <c r="B16" i="6"/>
  <c r="A16" i="6"/>
  <c r="J15" i="6"/>
  <c r="I15" i="6"/>
  <c r="H15" i="6"/>
  <c r="D15" i="6"/>
  <c r="C15" i="6"/>
  <c r="B15" i="6"/>
  <c r="A15" i="6"/>
  <c r="F15" i="6" s="1"/>
  <c r="J14" i="6"/>
  <c r="I14" i="6"/>
  <c r="H14" i="6"/>
  <c r="G14" i="6"/>
  <c r="L14" i="6" s="1"/>
  <c r="F14" i="6"/>
  <c r="E14" i="6"/>
  <c r="D14" i="6"/>
  <c r="C14" i="6"/>
  <c r="B14" i="6"/>
  <c r="A14" i="6"/>
  <c r="J13" i="6"/>
  <c r="I13" i="6"/>
  <c r="H13" i="6"/>
  <c r="D13" i="6"/>
  <c r="C13" i="6"/>
  <c r="B13" i="6"/>
  <c r="A13" i="6"/>
  <c r="F13" i="6" s="1"/>
  <c r="J12" i="6"/>
  <c r="I12" i="6"/>
  <c r="H12" i="6"/>
  <c r="G12" i="6"/>
  <c r="L12" i="6" s="1"/>
  <c r="F12" i="6"/>
  <c r="E12" i="6"/>
  <c r="D12" i="6"/>
  <c r="C12" i="6"/>
  <c r="B12" i="6"/>
  <c r="A12" i="6"/>
  <c r="J11" i="6"/>
  <c r="I11" i="6"/>
  <c r="H11" i="6"/>
  <c r="D11" i="6"/>
  <c r="C11" i="6"/>
  <c r="B11" i="6"/>
  <c r="A11" i="6"/>
  <c r="F11" i="6" s="1"/>
  <c r="J10" i="6"/>
  <c r="I10" i="6"/>
  <c r="H10" i="6"/>
  <c r="G10" i="6"/>
  <c r="L10" i="6" s="1"/>
  <c r="F10" i="6"/>
  <c r="E10" i="6"/>
  <c r="D10" i="6"/>
  <c r="C10" i="6"/>
  <c r="B10" i="6"/>
  <c r="A10" i="6"/>
  <c r="J9" i="6"/>
  <c r="I9" i="6"/>
  <c r="H9" i="6"/>
  <c r="D9" i="6"/>
  <c r="C9" i="6"/>
  <c r="B9" i="6"/>
  <c r="A9" i="6"/>
  <c r="F9" i="6" s="1"/>
  <c r="J8" i="6"/>
  <c r="I8" i="6"/>
  <c r="H8" i="6"/>
  <c r="G8" i="6"/>
  <c r="L8" i="6" s="1"/>
  <c r="F8" i="6"/>
  <c r="E8" i="6"/>
  <c r="D8" i="6"/>
  <c r="C8" i="6"/>
  <c r="B8" i="6"/>
  <c r="A8" i="6"/>
  <c r="J7" i="6"/>
  <c r="I7" i="6"/>
  <c r="H7" i="6"/>
  <c r="D7" i="6"/>
  <c r="C7" i="6"/>
  <c r="B7" i="6"/>
  <c r="A7" i="6"/>
  <c r="F7" i="6" s="1"/>
  <c r="J6" i="6"/>
  <c r="I6" i="6"/>
  <c r="H6" i="6"/>
  <c r="G6" i="6"/>
  <c r="L6" i="6" s="1"/>
  <c r="F6" i="6"/>
  <c r="E6" i="6"/>
  <c r="D6" i="6"/>
  <c r="C6" i="6"/>
  <c r="B6" i="6"/>
  <c r="A6" i="6"/>
  <c r="J5" i="6"/>
  <c r="I5" i="6"/>
  <c r="H5" i="6"/>
  <c r="D5" i="6"/>
  <c r="C5" i="6"/>
  <c r="B5" i="6"/>
  <c r="A5" i="6"/>
  <c r="F5" i="6" s="1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K64" i="4"/>
  <c r="D64" i="4"/>
  <c r="K63" i="4"/>
  <c r="D63" i="4"/>
  <c r="K62" i="4"/>
  <c r="D62" i="4"/>
  <c r="K61" i="4"/>
  <c r="D61" i="4"/>
  <c r="K60" i="4"/>
  <c r="D60" i="4"/>
  <c r="K59" i="4"/>
  <c r="D59" i="4"/>
  <c r="K58" i="4"/>
  <c r="D58" i="4"/>
  <c r="K57" i="4"/>
  <c r="D57" i="4"/>
  <c r="K56" i="4"/>
  <c r="D56" i="4"/>
  <c r="K55" i="4"/>
  <c r="D55" i="4"/>
  <c r="K54" i="4"/>
  <c r="D54" i="4"/>
  <c r="K53" i="4"/>
  <c r="D53" i="4"/>
  <c r="K52" i="4"/>
  <c r="D52" i="4"/>
  <c r="K51" i="4"/>
  <c r="D51" i="4"/>
  <c r="K50" i="4"/>
  <c r="D50" i="4"/>
  <c r="K49" i="4"/>
  <c r="D49" i="4"/>
  <c r="K48" i="4"/>
  <c r="D48" i="4"/>
  <c r="K47" i="4"/>
  <c r="D47" i="4"/>
  <c r="K46" i="4"/>
  <c r="D46" i="4"/>
  <c r="K45" i="4"/>
  <c r="D45" i="4"/>
  <c r="K44" i="4"/>
  <c r="D44" i="4"/>
  <c r="K43" i="4"/>
  <c r="D43" i="4"/>
  <c r="K42" i="4"/>
  <c r="D42" i="4"/>
  <c r="K41" i="4"/>
  <c r="D41" i="4"/>
  <c r="K40" i="4"/>
  <c r="D40" i="4"/>
  <c r="K39" i="4"/>
  <c r="D39" i="4"/>
  <c r="K38" i="4"/>
  <c r="D38" i="4"/>
  <c r="K37" i="4"/>
  <c r="D37" i="4"/>
  <c r="K36" i="4"/>
  <c r="D36" i="4"/>
  <c r="K35" i="4"/>
  <c r="D35" i="4"/>
  <c r="K34" i="4"/>
  <c r="D34" i="4"/>
  <c r="K33" i="4"/>
  <c r="D33" i="4"/>
  <c r="K32" i="4"/>
  <c r="D32" i="4"/>
  <c r="K31" i="4"/>
  <c r="D31" i="4"/>
  <c r="K30" i="4"/>
  <c r="D30" i="4"/>
  <c r="K29" i="4"/>
  <c r="D29" i="4"/>
  <c r="K28" i="4"/>
  <c r="D28" i="4"/>
  <c r="K27" i="4"/>
  <c r="D27" i="4"/>
  <c r="K26" i="4"/>
  <c r="D26" i="4"/>
  <c r="K25" i="4"/>
  <c r="D25" i="4"/>
  <c r="K24" i="4"/>
  <c r="D24" i="4"/>
  <c r="K23" i="4"/>
  <c r="D23" i="4"/>
  <c r="K22" i="4"/>
  <c r="D22" i="4"/>
  <c r="K21" i="4"/>
  <c r="D21" i="4"/>
  <c r="K20" i="4"/>
  <c r="D20" i="4"/>
  <c r="K19" i="4"/>
  <c r="D19" i="4"/>
  <c r="K18" i="4"/>
  <c r="D18" i="4"/>
  <c r="K17" i="4"/>
  <c r="D17" i="4"/>
  <c r="K16" i="4"/>
  <c r="D16" i="4"/>
  <c r="K15" i="4"/>
  <c r="D15" i="4"/>
  <c r="K14" i="4"/>
  <c r="D14" i="4"/>
  <c r="K13" i="4"/>
  <c r="D13" i="4"/>
  <c r="K12" i="4"/>
  <c r="D12" i="4"/>
  <c r="K11" i="4"/>
  <c r="D11" i="4"/>
  <c r="K10" i="4"/>
  <c r="D10" i="4"/>
  <c r="K9" i="4"/>
  <c r="D9" i="4"/>
  <c r="K8" i="4"/>
  <c r="D8" i="4"/>
  <c r="K7" i="4"/>
  <c r="D7" i="4"/>
  <c r="K6" i="4"/>
  <c r="D6" i="4"/>
  <c r="K5" i="4"/>
  <c r="D5" i="4"/>
  <c r="A122" i="2"/>
  <c r="B122" i="2" s="1"/>
  <c r="B121" i="2"/>
  <c r="A121" i="2"/>
  <c r="A120" i="2"/>
  <c r="B120" i="2" s="1"/>
  <c r="B119" i="2"/>
  <c r="A119" i="2"/>
  <c r="A118" i="2"/>
  <c r="B118" i="2" s="1"/>
  <c r="B117" i="2"/>
  <c r="A117" i="2"/>
  <c r="A116" i="2"/>
  <c r="B116" i="2" s="1"/>
  <c r="B115" i="2"/>
  <c r="A115" i="2"/>
  <c r="A114" i="2"/>
  <c r="B114" i="2" s="1"/>
  <c r="B113" i="2"/>
  <c r="A113" i="2"/>
  <c r="A112" i="2"/>
  <c r="B112" i="2" s="1"/>
  <c r="B111" i="2"/>
  <c r="A111" i="2"/>
  <c r="A110" i="2"/>
  <c r="B110" i="2" s="1"/>
  <c r="B109" i="2"/>
  <c r="A109" i="2"/>
  <c r="A108" i="2"/>
  <c r="B108" i="2" s="1"/>
  <c r="B107" i="2"/>
  <c r="A107" i="2"/>
  <c r="A106" i="2"/>
  <c r="B106" i="2" s="1"/>
  <c r="B105" i="2"/>
  <c r="A105" i="2"/>
  <c r="A104" i="2"/>
  <c r="B104" i="2" s="1"/>
  <c r="B103" i="2"/>
  <c r="A103" i="2"/>
  <c r="A102" i="2"/>
  <c r="B102" i="2" s="1"/>
  <c r="E101" i="2"/>
  <c r="B101" i="2"/>
  <c r="A101" i="2"/>
  <c r="E100" i="2"/>
  <c r="B100" i="2"/>
  <c r="A100" i="2"/>
  <c r="E99" i="2"/>
  <c r="B99" i="2"/>
  <c r="A99" i="2"/>
  <c r="E98" i="2"/>
  <c r="A98" i="2"/>
  <c r="B98" i="2" s="1"/>
  <c r="E97" i="2"/>
  <c r="A97" i="2"/>
  <c r="B97" i="2" s="1"/>
  <c r="E96" i="2"/>
  <c r="B96" i="2"/>
  <c r="A96" i="2"/>
  <c r="E95" i="2"/>
  <c r="A95" i="2"/>
  <c r="B95" i="2" s="1"/>
  <c r="E94" i="2"/>
  <c r="A94" i="2"/>
  <c r="B94" i="2" s="1"/>
  <c r="E93" i="2"/>
  <c r="B93" i="2"/>
  <c r="A93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J11" i="2"/>
  <c r="G11" i="2"/>
  <c r="D11" i="2"/>
  <c r="A11" i="2"/>
  <c r="J7" i="2"/>
  <c r="G7" i="2"/>
  <c r="D7" i="2"/>
  <c r="A7" i="2"/>
  <c r="E64" i="1"/>
  <c r="B64" i="1"/>
  <c r="E63" i="1"/>
  <c r="B63" i="1"/>
  <c r="E62" i="1"/>
  <c r="B62" i="1"/>
  <c r="E61" i="1"/>
  <c r="B61" i="1"/>
  <c r="I17" i="1"/>
  <c r="D17" i="1"/>
  <c r="A17" i="1"/>
  <c r="J13" i="1"/>
  <c r="G13" i="1"/>
  <c r="D13" i="1"/>
  <c r="A13" i="1"/>
  <c r="J9" i="1"/>
  <c r="G9" i="1"/>
  <c r="D9" i="1"/>
  <c r="A9" i="1"/>
  <c r="J5" i="1"/>
  <c r="G5" i="1"/>
  <c r="D5" i="1"/>
  <c r="A5" i="1"/>
  <c r="K40" i="6" l="1"/>
  <c r="L40" i="6"/>
  <c r="K52" i="6"/>
  <c r="L52" i="6"/>
  <c r="K60" i="6"/>
  <c r="L60" i="6"/>
  <c r="K72" i="6"/>
  <c r="L72" i="6"/>
  <c r="K80" i="6"/>
  <c r="L80" i="6"/>
  <c r="G13" i="6"/>
  <c r="K46" i="6"/>
  <c r="L46" i="6"/>
  <c r="K76" i="6"/>
  <c r="L76" i="6"/>
  <c r="G17" i="6"/>
  <c r="K36" i="6"/>
  <c r="L36" i="6"/>
  <c r="K74" i="6"/>
  <c r="L74" i="6"/>
  <c r="K70" i="6"/>
  <c r="L70" i="6"/>
  <c r="K92" i="6"/>
  <c r="L92" i="6"/>
  <c r="K56" i="6"/>
  <c r="L56" i="6"/>
  <c r="K66" i="6"/>
  <c r="L66" i="6"/>
  <c r="K90" i="6"/>
  <c r="L90" i="6"/>
  <c r="K64" i="6"/>
  <c r="L64" i="6"/>
  <c r="K86" i="6"/>
  <c r="L86" i="6"/>
  <c r="K82" i="6"/>
  <c r="L82" i="6"/>
  <c r="K31" i="6"/>
  <c r="G33" i="6"/>
  <c r="G39" i="6"/>
  <c r="L43" i="6"/>
  <c r="F48" i="6"/>
  <c r="G48" i="6" s="1"/>
  <c r="G55" i="6"/>
  <c r="L59" i="6"/>
  <c r="F75" i="6"/>
  <c r="E75" i="6"/>
  <c r="G102" i="6"/>
  <c r="F121" i="6"/>
  <c r="E121" i="6"/>
  <c r="L191" i="6"/>
  <c r="K191" i="6"/>
  <c r="G49" i="6"/>
  <c r="F65" i="6"/>
  <c r="E65" i="6"/>
  <c r="F81" i="6"/>
  <c r="E81" i="6"/>
  <c r="L103" i="6"/>
  <c r="K103" i="6"/>
  <c r="L104" i="6"/>
  <c r="K104" i="6"/>
  <c r="F117" i="6"/>
  <c r="E117" i="6"/>
  <c r="F87" i="6"/>
  <c r="E87" i="6"/>
  <c r="F95" i="6"/>
  <c r="E95" i="6"/>
  <c r="G95" i="6" s="1"/>
  <c r="L127" i="6"/>
  <c r="K127" i="6"/>
  <c r="F61" i="6"/>
  <c r="E61" i="6"/>
  <c r="G75" i="6"/>
  <c r="F77" i="6"/>
  <c r="E77" i="6"/>
  <c r="L123" i="6"/>
  <c r="K123" i="6"/>
  <c r="L168" i="6"/>
  <c r="K168" i="6"/>
  <c r="E5" i="6"/>
  <c r="G5" i="6" s="1"/>
  <c r="E7" i="6"/>
  <c r="G7" i="6" s="1"/>
  <c r="E9" i="6"/>
  <c r="G9" i="6" s="1"/>
  <c r="E11" i="6"/>
  <c r="G11" i="6" s="1"/>
  <c r="E13" i="6"/>
  <c r="E15" i="6"/>
  <c r="G15" i="6" s="1"/>
  <c r="E17" i="6"/>
  <c r="E19" i="6"/>
  <c r="G19" i="6" s="1"/>
  <c r="E21" i="6"/>
  <c r="G21" i="6" s="1"/>
  <c r="E23" i="6"/>
  <c r="G23" i="6" s="1"/>
  <c r="E25" i="6"/>
  <c r="G25" i="6" s="1"/>
  <c r="E27" i="6"/>
  <c r="G27" i="6" s="1"/>
  <c r="E29" i="6"/>
  <c r="G29" i="6" s="1"/>
  <c r="E34" i="6"/>
  <c r="G34" i="6" s="1"/>
  <c r="E37" i="6"/>
  <c r="G37" i="6" s="1"/>
  <c r="E50" i="6"/>
  <c r="G50" i="6" s="1"/>
  <c r="E53" i="6"/>
  <c r="G53" i="6" s="1"/>
  <c r="G65" i="6"/>
  <c r="F67" i="6"/>
  <c r="E67" i="6"/>
  <c r="G81" i="6"/>
  <c r="F83" i="6"/>
  <c r="E83" i="6"/>
  <c r="L88" i="6"/>
  <c r="G107" i="6"/>
  <c r="G119" i="6"/>
  <c r="F156" i="6"/>
  <c r="E156" i="6"/>
  <c r="F113" i="6"/>
  <c r="E113" i="6"/>
  <c r="G113" i="6" s="1"/>
  <c r="E44" i="6"/>
  <c r="G44" i="6" s="1"/>
  <c r="E47" i="6"/>
  <c r="G47" i="6" s="1"/>
  <c r="G57" i="6"/>
  <c r="L62" i="6"/>
  <c r="F73" i="6"/>
  <c r="E73" i="6"/>
  <c r="G73" i="6" s="1"/>
  <c r="L78" i="6"/>
  <c r="G87" i="6"/>
  <c r="F96" i="6"/>
  <c r="G96" i="6" s="1"/>
  <c r="L97" i="6"/>
  <c r="K97" i="6"/>
  <c r="F102" i="6"/>
  <c r="E102" i="6"/>
  <c r="L108" i="6"/>
  <c r="K108" i="6"/>
  <c r="L109" i="6"/>
  <c r="K109" i="6"/>
  <c r="G115" i="6"/>
  <c r="L136" i="6"/>
  <c r="K136" i="6"/>
  <c r="F147" i="6"/>
  <c r="E147" i="6"/>
  <c r="G147" i="6" s="1"/>
  <c r="K6" i="6"/>
  <c r="K8" i="6"/>
  <c r="K10" i="6"/>
  <c r="K12" i="6"/>
  <c r="K14" i="6"/>
  <c r="K16" i="6"/>
  <c r="K18" i="6"/>
  <c r="K20" i="6"/>
  <c r="K22" i="6"/>
  <c r="K24" i="6"/>
  <c r="K26" i="6"/>
  <c r="K28" i="6"/>
  <c r="L30" i="6"/>
  <c r="E32" i="6"/>
  <c r="G32" i="6" s="1"/>
  <c r="E38" i="6"/>
  <c r="G38" i="6" s="1"/>
  <c r="E41" i="6"/>
  <c r="G41" i="6" s="1"/>
  <c r="L42" i="6"/>
  <c r="G51" i="6"/>
  <c r="E54" i="6"/>
  <c r="G54" i="6" s="1"/>
  <c r="E57" i="6"/>
  <c r="L58" i="6"/>
  <c r="G61" i="6"/>
  <c r="F63" i="6"/>
  <c r="E63" i="6"/>
  <c r="G63" i="6" s="1"/>
  <c r="L68" i="6"/>
  <c r="G77" i="6"/>
  <c r="F79" i="6"/>
  <c r="G79" i="6" s="1"/>
  <c r="E79" i="6"/>
  <c r="L84" i="6"/>
  <c r="G94" i="6"/>
  <c r="G105" i="6"/>
  <c r="G111" i="6"/>
  <c r="F129" i="6"/>
  <c r="E129" i="6"/>
  <c r="G129" i="6" s="1"/>
  <c r="F71" i="6"/>
  <c r="E71" i="6"/>
  <c r="G71" i="6" s="1"/>
  <c r="E35" i="6"/>
  <c r="G35" i="6" s="1"/>
  <c r="G45" i="6"/>
  <c r="E51" i="6"/>
  <c r="G67" i="6"/>
  <c r="F69" i="6"/>
  <c r="E69" i="6"/>
  <c r="G69" i="6" s="1"/>
  <c r="G83" i="6"/>
  <c r="F85" i="6"/>
  <c r="E85" i="6"/>
  <c r="G85" i="6" s="1"/>
  <c r="G100" i="6"/>
  <c r="L106" i="6"/>
  <c r="F125" i="6"/>
  <c r="E125" i="6"/>
  <c r="E101" i="6"/>
  <c r="G101" i="6" s="1"/>
  <c r="G112" i="6"/>
  <c r="G116" i="6"/>
  <c r="G120" i="6"/>
  <c r="G124" i="6"/>
  <c r="G128" i="6"/>
  <c r="E133" i="6"/>
  <c r="G133" i="6" s="1"/>
  <c r="G134" i="6"/>
  <c r="F145" i="6"/>
  <c r="E145" i="6"/>
  <c r="G150" i="6"/>
  <c r="F143" i="6"/>
  <c r="E143" i="6"/>
  <c r="G143" i="6" s="1"/>
  <c r="G148" i="6"/>
  <c r="G159" i="6"/>
  <c r="F165" i="6"/>
  <c r="E165" i="6"/>
  <c r="L167" i="6"/>
  <c r="K167" i="6"/>
  <c r="L177" i="6"/>
  <c r="K177" i="6"/>
  <c r="L179" i="6"/>
  <c r="K179" i="6"/>
  <c r="L183" i="6"/>
  <c r="K183" i="6"/>
  <c r="L207" i="6"/>
  <c r="K207" i="6"/>
  <c r="F141" i="6"/>
  <c r="E141" i="6"/>
  <c r="G141" i="6" s="1"/>
  <c r="G146" i="6"/>
  <c r="L154" i="6"/>
  <c r="K154" i="6"/>
  <c r="L157" i="6"/>
  <c r="K157" i="6"/>
  <c r="L174" i="6"/>
  <c r="K174" i="6"/>
  <c r="F139" i="6"/>
  <c r="E139" i="6"/>
  <c r="G139" i="6" s="1"/>
  <c r="L144" i="6"/>
  <c r="K144" i="6"/>
  <c r="L152" i="6"/>
  <c r="K152" i="6"/>
  <c r="K166" i="6"/>
  <c r="L166" i="6"/>
  <c r="F172" i="6"/>
  <c r="E172" i="6"/>
  <c r="L195" i="6"/>
  <c r="K195" i="6"/>
  <c r="L199" i="6"/>
  <c r="K199" i="6"/>
  <c r="E89" i="6"/>
  <c r="G89" i="6" s="1"/>
  <c r="E91" i="6"/>
  <c r="G91" i="6" s="1"/>
  <c r="E93" i="6"/>
  <c r="G93" i="6" s="1"/>
  <c r="G114" i="6"/>
  <c r="G126" i="6"/>
  <c r="F137" i="6"/>
  <c r="E137" i="6"/>
  <c r="G137" i="6" s="1"/>
  <c r="G142" i="6"/>
  <c r="L161" i="6"/>
  <c r="K161" i="6"/>
  <c r="G164" i="6"/>
  <c r="L193" i="6"/>
  <c r="K193" i="6"/>
  <c r="E98" i="6"/>
  <c r="G98" i="6" s="1"/>
  <c r="E110" i="6"/>
  <c r="G110" i="6" s="1"/>
  <c r="E114" i="6"/>
  <c r="E118" i="6"/>
  <c r="G118" i="6" s="1"/>
  <c r="E122" i="6"/>
  <c r="G122" i="6" s="1"/>
  <c r="E126" i="6"/>
  <c r="E130" i="6"/>
  <c r="G130" i="6" s="1"/>
  <c r="F135" i="6"/>
  <c r="E135" i="6"/>
  <c r="G135" i="6" s="1"/>
  <c r="G140" i="6"/>
  <c r="L163" i="6"/>
  <c r="K163" i="6"/>
  <c r="L211" i="6"/>
  <c r="K211" i="6"/>
  <c r="L215" i="6"/>
  <c r="K215" i="6"/>
  <c r="E131" i="6"/>
  <c r="G131" i="6" s="1"/>
  <c r="G132" i="6"/>
  <c r="G138" i="6"/>
  <c r="F149" i="6"/>
  <c r="E149" i="6"/>
  <c r="L170" i="6"/>
  <c r="K170" i="6"/>
  <c r="G173" i="6"/>
  <c r="G175" i="6"/>
  <c r="G209" i="6"/>
  <c r="G180" i="6"/>
  <c r="G196" i="6"/>
  <c r="G212" i="6"/>
  <c r="N6" i="7"/>
  <c r="N10" i="7"/>
  <c r="N14" i="7"/>
  <c r="N18" i="7"/>
  <c r="N22" i="7"/>
  <c r="N26" i="7"/>
  <c r="N30" i="7"/>
  <c r="N34" i="7"/>
  <c r="N38" i="7"/>
  <c r="G190" i="6"/>
  <c r="G206" i="6"/>
  <c r="O7" i="7"/>
  <c r="N7" i="7"/>
  <c r="M7" i="7"/>
  <c r="O11" i="7"/>
  <c r="N11" i="7"/>
  <c r="M11" i="7"/>
  <c r="O15" i="7"/>
  <c r="N15" i="7"/>
  <c r="M15" i="7"/>
  <c r="O19" i="7"/>
  <c r="N19" i="7"/>
  <c r="M19" i="7"/>
  <c r="O23" i="7"/>
  <c r="N23" i="7"/>
  <c r="M23" i="7"/>
  <c r="O27" i="7"/>
  <c r="N27" i="7"/>
  <c r="M27" i="7"/>
  <c r="O31" i="7"/>
  <c r="N31" i="7"/>
  <c r="M31" i="7"/>
  <c r="O35" i="7"/>
  <c r="N35" i="7"/>
  <c r="M35" i="7"/>
  <c r="O39" i="7"/>
  <c r="N39" i="7"/>
  <c r="M39" i="7"/>
  <c r="G184" i="6"/>
  <c r="L189" i="6"/>
  <c r="K189" i="6"/>
  <c r="L205" i="6"/>
  <c r="K205" i="6"/>
  <c r="G216" i="6"/>
  <c r="E155" i="6"/>
  <c r="G155" i="6" s="1"/>
  <c r="E162" i="6"/>
  <c r="G162" i="6" s="1"/>
  <c r="E171" i="6"/>
  <c r="G171" i="6" s="1"/>
  <c r="E178" i="6"/>
  <c r="G178" i="6" s="1"/>
  <c r="E184" i="6"/>
  <c r="E187" i="6"/>
  <c r="G187" i="6" s="1"/>
  <c r="G194" i="6"/>
  <c r="E200" i="6"/>
  <c r="G200" i="6" s="1"/>
  <c r="E203" i="6"/>
  <c r="G203" i="6" s="1"/>
  <c r="E216" i="6"/>
  <c r="M8" i="7"/>
  <c r="M12" i="7"/>
  <c r="M16" i="7"/>
  <c r="M20" i="7"/>
  <c r="M24" i="7"/>
  <c r="M28" i="7"/>
  <c r="M32" i="7"/>
  <c r="M36" i="7"/>
  <c r="M40" i="7"/>
  <c r="E153" i="6"/>
  <c r="G153" i="6" s="1"/>
  <c r="E160" i="6"/>
  <c r="G160" i="6" s="1"/>
  <c r="E169" i="6"/>
  <c r="G169" i="6" s="1"/>
  <c r="E176" i="6"/>
  <c r="G176" i="6" s="1"/>
  <c r="E181" i="6"/>
  <c r="G181" i="6" s="1"/>
  <c r="G188" i="6"/>
  <c r="K192" i="6"/>
  <c r="E194" i="6"/>
  <c r="E197" i="6"/>
  <c r="G197" i="6" s="1"/>
  <c r="G204" i="6"/>
  <c r="K208" i="6"/>
  <c r="E210" i="6"/>
  <c r="G210" i="6" s="1"/>
  <c r="E213" i="6"/>
  <c r="G213" i="6" s="1"/>
  <c r="K218" i="6"/>
  <c r="N8" i="7"/>
  <c r="N12" i="7"/>
  <c r="N16" i="7"/>
  <c r="N20" i="7"/>
  <c r="N24" i="7"/>
  <c r="N28" i="7"/>
  <c r="N32" i="7"/>
  <c r="N36" i="7"/>
  <c r="N40" i="7"/>
  <c r="E151" i="6"/>
  <c r="G151" i="6" s="1"/>
  <c r="E158" i="6"/>
  <c r="G158" i="6" s="1"/>
  <c r="G214" i="6"/>
  <c r="O5" i="7"/>
  <c r="N5" i="7"/>
  <c r="M5" i="7"/>
  <c r="O9" i="7"/>
  <c r="N9" i="7"/>
  <c r="M9" i="7"/>
  <c r="O13" i="7"/>
  <c r="N13" i="7"/>
  <c r="M13" i="7"/>
  <c r="O17" i="7"/>
  <c r="N17" i="7"/>
  <c r="M17" i="7"/>
  <c r="O21" i="7"/>
  <c r="N21" i="7"/>
  <c r="M21" i="7"/>
  <c r="O25" i="7"/>
  <c r="N25" i="7"/>
  <c r="M25" i="7"/>
  <c r="O29" i="7"/>
  <c r="N29" i="7"/>
  <c r="M29" i="7"/>
  <c r="O33" i="7"/>
  <c r="N33" i="7"/>
  <c r="M33" i="7"/>
  <c r="O37" i="7"/>
  <c r="N37" i="7"/>
  <c r="M37" i="7"/>
  <c r="O41" i="7"/>
  <c r="N41" i="7"/>
  <c r="M41" i="7"/>
  <c r="E182" i="6"/>
  <c r="G182" i="6" s="1"/>
  <c r="E185" i="6"/>
  <c r="G185" i="6" s="1"/>
  <c r="E198" i="6"/>
  <c r="G198" i="6" s="1"/>
  <c r="E201" i="6"/>
  <c r="G201" i="6" s="1"/>
  <c r="E214" i="6"/>
  <c r="E217" i="6"/>
  <c r="G217" i="6" s="1"/>
  <c r="M6" i="7"/>
  <c r="M10" i="7"/>
  <c r="M14" i="7"/>
  <c r="M18" i="7"/>
  <c r="M22" i="7"/>
  <c r="M26" i="7"/>
  <c r="M30" i="7"/>
  <c r="M34" i="7"/>
  <c r="M38" i="7"/>
  <c r="AF12" i="9"/>
  <c r="AF20" i="9"/>
  <c r="AF28" i="9"/>
  <c r="AF36" i="9"/>
  <c r="AF44" i="9"/>
  <c r="AF52" i="9"/>
  <c r="AF60" i="9"/>
  <c r="AF68" i="9"/>
  <c r="AF76" i="9"/>
  <c r="AF6" i="9"/>
  <c r="AF14" i="9"/>
  <c r="AF22" i="9"/>
  <c r="AF30" i="9"/>
  <c r="AF38" i="9"/>
  <c r="AF46" i="9"/>
  <c r="AF54" i="9"/>
  <c r="AF62" i="9"/>
  <c r="AF70" i="9"/>
  <c r="AF78" i="9"/>
  <c r="AF11" i="9"/>
  <c r="AF19" i="9"/>
  <c r="AF27" i="9"/>
  <c r="AF35" i="9"/>
  <c r="AF43" i="9"/>
  <c r="AF51" i="9"/>
  <c r="AF59" i="9"/>
  <c r="AF67" i="9"/>
  <c r="AF75" i="9"/>
  <c r="AF83" i="9"/>
  <c r="AF5" i="9"/>
  <c r="AG5" i="9" s="1"/>
  <c r="L73" i="6" l="1"/>
  <c r="K73" i="6"/>
  <c r="L27" i="6"/>
  <c r="K27" i="6"/>
  <c r="L11" i="6"/>
  <c r="K11" i="6"/>
  <c r="K110" i="6"/>
  <c r="L110" i="6"/>
  <c r="K34" i="6"/>
  <c r="L34" i="6"/>
  <c r="K48" i="6"/>
  <c r="L48" i="6"/>
  <c r="L210" i="6"/>
  <c r="K210" i="6"/>
  <c r="L63" i="6"/>
  <c r="K63" i="6"/>
  <c r="L198" i="6"/>
  <c r="K198" i="6"/>
  <c r="L130" i="6"/>
  <c r="K130" i="6"/>
  <c r="K25" i="6"/>
  <c r="L25" i="6"/>
  <c r="L9" i="6"/>
  <c r="K9" i="6"/>
  <c r="K162" i="6"/>
  <c r="L162" i="6"/>
  <c r="L69" i="6"/>
  <c r="K69" i="6"/>
  <c r="L200" i="6"/>
  <c r="K200" i="6"/>
  <c r="L29" i="6"/>
  <c r="K29" i="6"/>
  <c r="K41" i="6"/>
  <c r="L41" i="6"/>
  <c r="L23" i="6"/>
  <c r="K23" i="6"/>
  <c r="L7" i="6"/>
  <c r="K7" i="6"/>
  <c r="L182" i="6"/>
  <c r="K182" i="6"/>
  <c r="K178" i="6"/>
  <c r="L178" i="6"/>
  <c r="K122" i="6"/>
  <c r="L122" i="6"/>
  <c r="L91" i="6"/>
  <c r="K91" i="6"/>
  <c r="L85" i="6"/>
  <c r="K85" i="6"/>
  <c r="L35" i="6"/>
  <c r="K35" i="6"/>
  <c r="L53" i="6"/>
  <c r="K53" i="6"/>
  <c r="K21" i="6"/>
  <c r="L21" i="6"/>
  <c r="L5" i="6"/>
  <c r="K5" i="6"/>
  <c r="K118" i="6"/>
  <c r="L118" i="6"/>
  <c r="L89" i="6"/>
  <c r="K89" i="6"/>
  <c r="L71" i="6"/>
  <c r="K71" i="6"/>
  <c r="L47" i="6"/>
  <c r="K47" i="6"/>
  <c r="K50" i="6"/>
  <c r="L50" i="6"/>
  <c r="L19" i="6"/>
  <c r="K19" i="6"/>
  <c r="L79" i="6"/>
  <c r="K79" i="6"/>
  <c r="L96" i="6"/>
  <c r="K96" i="6"/>
  <c r="K44" i="6"/>
  <c r="L44" i="6"/>
  <c r="L37" i="6"/>
  <c r="K37" i="6"/>
  <c r="K15" i="6"/>
  <c r="L15" i="6"/>
  <c r="L201" i="6"/>
  <c r="K201" i="6"/>
  <c r="L188" i="6"/>
  <c r="K188" i="6"/>
  <c r="L184" i="6"/>
  <c r="K184" i="6"/>
  <c r="L212" i="6"/>
  <c r="K212" i="6"/>
  <c r="G149" i="6"/>
  <c r="G165" i="6"/>
  <c r="G145" i="6"/>
  <c r="L112" i="6"/>
  <c r="K112" i="6"/>
  <c r="L83" i="6"/>
  <c r="K83" i="6"/>
  <c r="K54" i="6"/>
  <c r="L54" i="6"/>
  <c r="L115" i="6"/>
  <c r="K115" i="6"/>
  <c r="K57" i="6"/>
  <c r="L57" i="6"/>
  <c r="L17" i="6"/>
  <c r="K17" i="6"/>
  <c r="L13" i="6"/>
  <c r="K13" i="6"/>
  <c r="L213" i="6"/>
  <c r="K213" i="6"/>
  <c r="L181" i="6"/>
  <c r="K181" i="6"/>
  <c r="L203" i="6"/>
  <c r="K203" i="6"/>
  <c r="L155" i="6"/>
  <c r="K155" i="6"/>
  <c r="L196" i="6"/>
  <c r="K196" i="6"/>
  <c r="K114" i="6"/>
  <c r="L114" i="6"/>
  <c r="L101" i="6"/>
  <c r="K101" i="6"/>
  <c r="L129" i="6"/>
  <c r="K129" i="6"/>
  <c r="L77" i="6"/>
  <c r="K77" i="6"/>
  <c r="L51" i="6"/>
  <c r="K51" i="6"/>
  <c r="L119" i="6"/>
  <c r="K119" i="6"/>
  <c r="L65" i="6"/>
  <c r="K65" i="6"/>
  <c r="K102" i="6"/>
  <c r="L102" i="6"/>
  <c r="L185" i="6"/>
  <c r="K185" i="6"/>
  <c r="L214" i="6"/>
  <c r="K214" i="6"/>
  <c r="L176" i="6"/>
  <c r="K176" i="6"/>
  <c r="L216" i="6"/>
  <c r="K216" i="6"/>
  <c r="L180" i="6"/>
  <c r="K180" i="6"/>
  <c r="L138" i="6"/>
  <c r="K138" i="6"/>
  <c r="L142" i="6"/>
  <c r="K142" i="6"/>
  <c r="G172" i="6"/>
  <c r="L159" i="6"/>
  <c r="K159" i="6"/>
  <c r="L134" i="6"/>
  <c r="K134" i="6"/>
  <c r="G125" i="6"/>
  <c r="L87" i="6"/>
  <c r="K87" i="6"/>
  <c r="L107" i="6"/>
  <c r="K107" i="6"/>
  <c r="L39" i="6"/>
  <c r="K39" i="6"/>
  <c r="L169" i="6"/>
  <c r="K169" i="6"/>
  <c r="L194" i="6"/>
  <c r="K194" i="6"/>
  <c r="L209" i="6"/>
  <c r="K209" i="6"/>
  <c r="L132" i="6"/>
  <c r="K132" i="6"/>
  <c r="L140" i="6"/>
  <c r="K140" i="6"/>
  <c r="L137" i="6"/>
  <c r="K137" i="6"/>
  <c r="L93" i="6"/>
  <c r="K93" i="6"/>
  <c r="L139" i="6"/>
  <c r="K139" i="6"/>
  <c r="L146" i="6"/>
  <c r="K146" i="6"/>
  <c r="L148" i="6"/>
  <c r="K148" i="6"/>
  <c r="L133" i="6"/>
  <c r="K133" i="6"/>
  <c r="L67" i="6"/>
  <c r="K67" i="6"/>
  <c r="L111" i="6"/>
  <c r="K111" i="6"/>
  <c r="K75" i="6"/>
  <c r="L75" i="6"/>
  <c r="L95" i="6"/>
  <c r="K95" i="6"/>
  <c r="L33" i="6"/>
  <c r="K33" i="6"/>
  <c r="L204" i="6"/>
  <c r="K204" i="6"/>
  <c r="L160" i="6"/>
  <c r="K160" i="6"/>
  <c r="L187" i="6"/>
  <c r="K187" i="6"/>
  <c r="K206" i="6"/>
  <c r="L206" i="6"/>
  <c r="L175" i="6"/>
  <c r="K175" i="6"/>
  <c r="L131" i="6"/>
  <c r="K131" i="6"/>
  <c r="L135" i="6"/>
  <c r="K135" i="6"/>
  <c r="L98" i="6"/>
  <c r="K98" i="6"/>
  <c r="L141" i="6"/>
  <c r="K141" i="6"/>
  <c r="L143" i="6"/>
  <c r="K143" i="6"/>
  <c r="L128" i="6"/>
  <c r="K128" i="6"/>
  <c r="L105" i="6"/>
  <c r="K105" i="6"/>
  <c r="K38" i="6"/>
  <c r="L38" i="6"/>
  <c r="L147" i="6"/>
  <c r="K147" i="6"/>
  <c r="L113" i="6"/>
  <c r="K113" i="6"/>
  <c r="L49" i="6"/>
  <c r="K49" i="6"/>
  <c r="L158" i="6"/>
  <c r="K158" i="6"/>
  <c r="L197" i="6"/>
  <c r="K197" i="6"/>
  <c r="L153" i="6"/>
  <c r="K153" i="6"/>
  <c r="K190" i="6"/>
  <c r="L190" i="6"/>
  <c r="L173" i="6"/>
  <c r="K173" i="6"/>
  <c r="L124" i="6"/>
  <c r="K124" i="6"/>
  <c r="L100" i="6"/>
  <c r="K100" i="6"/>
  <c r="L45" i="6"/>
  <c r="K45" i="6"/>
  <c r="L94" i="6"/>
  <c r="K94" i="6"/>
  <c r="K61" i="6"/>
  <c r="L61" i="6"/>
  <c r="L217" i="6"/>
  <c r="K217" i="6"/>
  <c r="L151" i="6"/>
  <c r="K151" i="6"/>
  <c r="K126" i="6"/>
  <c r="L126" i="6"/>
  <c r="L120" i="6"/>
  <c r="K120" i="6"/>
  <c r="K32" i="6"/>
  <c r="L32" i="6"/>
  <c r="L81" i="6"/>
  <c r="K81" i="6"/>
  <c r="L171" i="6"/>
  <c r="K171" i="6"/>
  <c r="L164" i="6"/>
  <c r="K164" i="6"/>
  <c r="K150" i="6"/>
  <c r="L150" i="6"/>
  <c r="L116" i="6"/>
  <c r="K116" i="6"/>
  <c r="G156" i="6"/>
  <c r="G117" i="6"/>
  <c r="G121" i="6"/>
  <c r="L55" i="6"/>
  <c r="K55" i="6"/>
  <c r="L172" i="6" l="1"/>
  <c r="K172" i="6"/>
  <c r="L165" i="6"/>
  <c r="K165" i="6"/>
  <c r="L149" i="6"/>
  <c r="K149" i="6"/>
  <c r="L121" i="6"/>
  <c r="K121" i="6"/>
  <c r="L117" i="6"/>
  <c r="K117" i="6"/>
  <c r="L125" i="6"/>
  <c r="K125" i="6"/>
  <c r="L156" i="6"/>
  <c r="K156" i="6"/>
  <c r="L145" i="6"/>
  <c r="K145" i="6"/>
</calcChain>
</file>

<file path=xl/sharedStrings.xml><?xml version="1.0" encoding="utf-8"?>
<sst xmlns="http://schemas.openxmlformats.org/spreadsheetml/2006/main" count="2610" uniqueCount="758">
  <si>
    <t>TABLEAU DE BORD - GESTION DES STOCKS ET ACTIFS</t>
  </si>
  <si>
    <t>FTTH  |  GSM  |  BTP / Genie Civil  |  Logistique   —   Direction Generale   —   Mise a jour : 14/07/2026</t>
  </si>
  <si>
    <t>ARTICLES TOTAL</t>
  </si>
  <si>
    <t>VALEUR DU STOCK (FCFA)</t>
  </si>
  <si>
    <t>ARTICLES DISPONIBLES</t>
  </si>
  <si>
    <t>ARTICLES CRITIQUES</t>
  </si>
  <si>
    <t>ARTICLES EN RUPTURE</t>
  </si>
  <si>
    <t>ARTICLES EN COMMANDE</t>
  </si>
  <si>
    <t>ENTREES DU MOIS</t>
  </si>
  <si>
    <t>SORTIES DU MOIS</t>
  </si>
  <si>
    <t>EQUIPEMENTS AFFECTES</t>
  </si>
  <si>
    <t>EQUIPEMENTS DISPONIBLES</t>
  </si>
  <si>
    <t>EQUIPEMENTS DEFECTUEUX</t>
  </si>
  <si>
    <t>TAUX DE DISPONIBILITE EQUIP.</t>
  </si>
  <si>
    <t>TAUX DE ROTATION DU STOCK</t>
  </si>
  <si>
    <t>INVENTAIRE REALISE</t>
  </si>
  <si>
    <t>AUDITS OUVERTS</t>
  </si>
  <si>
    <t>ACCES RAPIDE AUX MODULES</t>
  </si>
  <si>
    <t>-&gt; Base Articles</t>
  </si>
  <si>
    <t>-&gt; Entrees</t>
  </si>
  <si>
    <t>-&gt; Sorties</t>
  </si>
  <si>
    <t>-&gt; Stock TempsReel</t>
  </si>
  <si>
    <t>-&gt; Equipements</t>
  </si>
  <si>
    <t>-&gt; Alertes</t>
  </si>
  <si>
    <t>-&gt; Historique Import 2026</t>
  </si>
  <si>
    <t>-&gt; Parametres</t>
  </si>
  <si>
    <t>MODULE TRACABILITE MATERIEL</t>
  </si>
  <si>
    <t>-&gt; Dashboard Tracabilite</t>
  </si>
  <si>
    <t>-&gt; Projets</t>
  </si>
  <si>
    <t>-&gt; Affectations</t>
  </si>
  <si>
    <t>-&gt; Recherche Materiel</t>
  </si>
  <si>
    <t>-&gt; Alertes Tracabilite</t>
  </si>
  <si>
    <t>Famille</t>
  </si>
  <si>
    <t>Nb articles</t>
  </si>
  <si>
    <t>Statut</t>
  </si>
  <si>
    <t>Nb</t>
  </si>
  <si>
    <t>FO</t>
  </si>
  <si>
    <t>DISPONIBLE</t>
  </si>
  <si>
    <t>GSM</t>
  </si>
  <si>
    <t>CRITIQUE</t>
  </si>
  <si>
    <t>BLR</t>
  </si>
  <si>
    <t>RUPTURE</t>
  </si>
  <si>
    <t>NEW (a classer)</t>
  </si>
  <si>
    <t>SURSTOCK</t>
  </si>
  <si>
    <t>TABLEAU DE BORD - TRACABILITE DU MATERIEL PAR PROJET</t>
  </si>
  <si>
    <t>Filtrer par projet :</t>
  </si>
  <si>
    <t>(Tous)</t>
  </si>
  <si>
    <t>MATERIELS AFFECTES (PROJET FILTRE)</t>
  </si>
  <si>
    <t>MATERIELS EN MAINTENANCE</t>
  </si>
  <si>
    <t>MATERIELS NON RETOURNES (RETARD)</t>
  </si>
  <si>
    <t>MATERIELS PERDUS / VOLES</t>
  </si>
  <si>
    <t>MATERIELS REFORMES</t>
  </si>
  <si>
    <t>NOMBRE DE MOUVEMENTS (CE MOIS)</t>
  </si>
  <si>
    <t>DUREE MOYENNE D'AFFECTATION (JOURS)</t>
  </si>
  <si>
    <t>TAUX DE DISPONIBILITE EQUIPEMENTS</t>
  </si>
  <si>
    <t>Projet</t>
  </si>
  <si>
    <t>Materiels affectes</t>
  </si>
  <si>
    <t>Affecte</t>
  </si>
  <si>
    <t>Disponible</t>
  </si>
  <si>
    <t>En retard</t>
  </si>
  <si>
    <t>En maintenance</t>
  </si>
  <si>
    <t>En reparation</t>
  </si>
  <si>
    <t>En transfert</t>
  </si>
  <si>
    <t>Perdu</t>
  </si>
  <si>
    <t>Vole</t>
  </si>
  <si>
    <t>Reforme</t>
  </si>
  <si>
    <t>BASE ARTICLES - CATALOGUE UNIQUE (FTTH / GSM / BTP)</t>
  </si>
  <si>
    <t>Hypotheses : Stock Initial = stock net constate dans le fichier d'origine (deja net des entrees/sorties historiques). Seuils Stock Min/Max calcules par defaut (Min = 20% du stock, Max = 150% du stock) - a ajuster selon vos besoins reels. Prix unitaire absent du fichier source : saisir en colonne J (cellules bleues).</t>
  </si>
  <si>
    <t>Code Article</t>
  </si>
  <si>
    <t>Designation</t>
  </si>
  <si>
    <t>Unite</t>
  </si>
  <si>
    <t>Fournisseur habituel</t>
  </si>
  <si>
    <t>Emplacement</t>
  </si>
  <si>
    <t>Stock Min</t>
  </si>
  <si>
    <t>Stock Max</t>
  </si>
  <si>
    <t>Stock Securite</t>
  </si>
  <si>
    <t>Prix Unitaire (FCFA)</t>
  </si>
  <si>
    <t>Stock Initial</t>
  </si>
  <si>
    <t>Qte Commandee</t>
  </si>
  <si>
    <t>Date Creation</t>
  </si>
  <si>
    <t>Observation</t>
  </si>
  <si>
    <t>FO-0001</t>
  </si>
  <si>
    <t>Boucle feuillard inox 20x0,7mm</t>
  </si>
  <si>
    <t>Piece</t>
  </si>
  <si>
    <t>Magasin Bureau</t>
  </si>
  <si>
    <t>Actif</t>
  </si>
  <si>
    <t>FO-0002</t>
  </si>
  <si>
    <t>Collier blanc petit</t>
  </si>
  <si>
    <t>FO-0003</t>
  </si>
  <si>
    <t>Dispositif de suspension JHC10-15</t>
  </si>
  <si>
    <t>FO-0004</t>
  </si>
  <si>
    <t>Dispositif de suspension JHC15-20</t>
  </si>
  <si>
    <t>FO-0005</t>
  </si>
  <si>
    <t>Embase cheville de 8</t>
  </si>
  <si>
    <t>FO-0006</t>
  </si>
  <si>
    <t>Entraxe 5/33</t>
  </si>
  <si>
    <t>FO-0007</t>
  </si>
  <si>
    <t>Feuillard inox 20x0,7 (rl 50m)</t>
  </si>
  <si>
    <t>FO-0008</t>
  </si>
  <si>
    <t>End box 2 core</t>
  </si>
  <si>
    <t>FO-0009</t>
  </si>
  <si>
    <t>Pince d'ancrage FO ADSS6-8</t>
  </si>
  <si>
    <t>FO-0010</t>
  </si>
  <si>
    <t>Pince d'ancrage FO ADSS12</t>
  </si>
  <si>
    <t>FO-0011</t>
  </si>
  <si>
    <t>Pince d'ancrage FO ADSS6</t>
  </si>
  <si>
    <t>FO-0012</t>
  </si>
  <si>
    <t>Semelle à goupille</t>
  </si>
  <si>
    <t>FO-0013</t>
  </si>
  <si>
    <t>Boulon M12*30</t>
  </si>
  <si>
    <t>FO-0014</t>
  </si>
  <si>
    <t>Traverse 5/14 11 trous</t>
  </si>
  <si>
    <t>FO-0015</t>
  </si>
  <si>
    <t>Pigtail</t>
  </si>
  <si>
    <t>FO-0016</t>
  </si>
  <si>
    <t>Jarretière SC/APC 3M jaune</t>
  </si>
  <si>
    <t>FO-0017</t>
  </si>
  <si>
    <t>Jarretière SC/APC 3M blanc</t>
  </si>
  <si>
    <t>FO-0018</t>
  </si>
  <si>
    <t>Piton bois</t>
  </si>
  <si>
    <t>FO-0019</t>
  </si>
  <si>
    <t>Jarretière SC/APC-SC/UPC 3M</t>
  </si>
  <si>
    <t>FO-0020</t>
  </si>
  <si>
    <t>Câble client  (MTN) noir (500m)</t>
  </si>
  <si>
    <t>FO-0021</t>
  </si>
  <si>
    <t>Câble client  (MTN) blanc(1000m)</t>
  </si>
  <si>
    <t>FO-0022</t>
  </si>
  <si>
    <t>Attache n°6mm  blanc</t>
  </si>
  <si>
    <t>FO-0023</t>
  </si>
  <si>
    <t>Attache n°5mm  blanc</t>
  </si>
  <si>
    <t>FO-0024</t>
  </si>
  <si>
    <t>Attache n°4mm  blanc</t>
  </si>
  <si>
    <t>FO-0025</t>
  </si>
  <si>
    <t>Attache n°5mm  Gris</t>
  </si>
  <si>
    <t>FO-0026</t>
  </si>
  <si>
    <t>Attache n°4mm  Gris</t>
  </si>
  <si>
    <t>FO-0027</t>
  </si>
  <si>
    <t>CABLE 1 FO G657</t>
  </si>
  <si>
    <t>FO-0028</t>
  </si>
  <si>
    <t>Câble  Sout/Aer 12FO (MTN)</t>
  </si>
  <si>
    <t>FO-0029</t>
  </si>
  <si>
    <t>Câble  Sout/Aer 48FO (Moov) G652D</t>
  </si>
  <si>
    <t>FO-0030</t>
  </si>
  <si>
    <t>Câble 12  FO  (HUB-MTN) G652D</t>
  </si>
  <si>
    <t>FO-0031</t>
  </si>
  <si>
    <t>Câble 24  FO  (HUB-MTN) G652D</t>
  </si>
  <si>
    <t>FO-0032</t>
  </si>
  <si>
    <t>Câble 96  FO  (HUB-MTN) G652D</t>
  </si>
  <si>
    <t>FO-0033</t>
  </si>
  <si>
    <t>Câble Vertical G657 A2 24FO Ivoire</t>
  </si>
  <si>
    <t>FO-0034</t>
  </si>
  <si>
    <t>Câble Vertical G657 A2 48FO Ivoire</t>
  </si>
  <si>
    <t>FO-0035</t>
  </si>
  <si>
    <t>Piton beton 5mm</t>
  </si>
  <si>
    <t>FO-0036</t>
  </si>
  <si>
    <t>Piton beton 6mm</t>
  </si>
  <si>
    <t>FO-0037</t>
  </si>
  <si>
    <t>Piton beton 8mm</t>
  </si>
  <si>
    <t>FO-0038</t>
  </si>
  <si>
    <t>Collier RISLAN 9/62</t>
  </si>
  <si>
    <t>FO-0039</t>
  </si>
  <si>
    <t>Collier inox (Bague)</t>
  </si>
  <si>
    <t>FO-0040</t>
  </si>
  <si>
    <t>Boitier d'étage + cassette</t>
  </si>
  <si>
    <t>FO-0041</t>
  </si>
  <si>
    <t>PB Aérien+ cassette</t>
  </si>
  <si>
    <t>FO-0042</t>
  </si>
  <si>
    <t>Boitier transition immeuble + cassette</t>
  </si>
  <si>
    <t>FO-0043</t>
  </si>
  <si>
    <t>Boitier d'épissurage BPEO T0 avec support</t>
  </si>
  <si>
    <t>FO-0044</t>
  </si>
  <si>
    <t>Boitier d'épissurage BPEO T1 EDP 12 Pas</t>
  </si>
  <si>
    <t>FO-0045</t>
  </si>
  <si>
    <t>PTO 1 sortie</t>
  </si>
  <si>
    <t>FO-0046</t>
  </si>
  <si>
    <t>Boitier d'épissurage BPEO T2 CDP 28 Pas</t>
  </si>
  <si>
    <t>FO-0047</t>
  </si>
  <si>
    <t>BPEO T1,5 FDP BRANCH</t>
  </si>
  <si>
    <t>FO-0048</t>
  </si>
  <si>
    <t>Cassette Simple</t>
  </si>
  <si>
    <t>FO-0049</t>
  </si>
  <si>
    <t>ECAM Double D5-20 Evol</t>
  </si>
  <si>
    <t>FO-0050</t>
  </si>
  <si>
    <t>ECAM Double D5-27 Evol</t>
  </si>
  <si>
    <t>FO-0051</t>
  </si>
  <si>
    <t>ECAM Double D18-15/18 Mecanique</t>
  </si>
  <si>
    <t>FO-0052</t>
  </si>
  <si>
    <t>ECAM S7 - 3/7 Evol</t>
  </si>
  <si>
    <t>FO-0053</t>
  </si>
  <si>
    <t>ECAM S9 5-3,5/9,5 Evol</t>
  </si>
  <si>
    <t>FO-0054</t>
  </si>
  <si>
    <t>ECAM S12-4/12 Evol</t>
  </si>
  <si>
    <t>FO-0055</t>
  </si>
  <si>
    <t>ECAM S18 - 5/18 Evol</t>
  </si>
  <si>
    <t>FO-0056</t>
  </si>
  <si>
    <t>Gaine verte(100m)</t>
  </si>
  <si>
    <t>FO-0057</t>
  </si>
  <si>
    <t>Sleeve (Smoov) 60 mm</t>
  </si>
  <si>
    <t>FO-0058</t>
  </si>
  <si>
    <t>Etiquette plastique PM Verte</t>
  </si>
  <si>
    <t>FO-0059</t>
  </si>
  <si>
    <t>Sleeve (Smoov) 40 mm</t>
  </si>
  <si>
    <t>FO-0060</t>
  </si>
  <si>
    <t>Coupleur PLC 1*8  MTN gros</t>
  </si>
  <si>
    <t>FO-0061</t>
  </si>
  <si>
    <t>Coupleur PLC 1*4  MTN gros</t>
  </si>
  <si>
    <t>FO-0062</t>
  </si>
  <si>
    <t>cassette coupleur</t>
  </si>
  <si>
    <t>FO-0063</t>
  </si>
  <si>
    <t>Coupleur PLC 1*8  MTN</t>
  </si>
  <si>
    <t>FO-0064</t>
  </si>
  <si>
    <t>Coupleur PLC 1*8 France T</t>
  </si>
  <si>
    <t>FO-0065</t>
  </si>
  <si>
    <t>Adaptateur ODF 48FO</t>
  </si>
  <si>
    <t>FO-0066</t>
  </si>
  <si>
    <t>RFO boit éclt Deecam D18 pr tube D5X3</t>
  </si>
  <si>
    <t>FO-0067</t>
  </si>
  <si>
    <t>RFO Chassis 12 Plateaux 144 FO</t>
  </si>
  <si>
    <t>FO-0068</t>
  </si>
  <si>
    <t>RFO -Ferme 2M - 6 Niveaux +Acc</t>
  </si>
  <si>
    <t>FO-0069</t>
  </si>
  <si>
    <t>RFO Modules préco 12 SC/APC</t>
  </si>
  <si>
    <t>FO-0070</t>
  </si>
  <si>
    <t>Tube de protection FO D5X3 blanc RFO</t>
  </si>
  <si>
    <t>FO-0071</t>
  </si>
  <si>
    <t>Anneau de tirage acier galva</t>
  </si>
  <si>
    <t>FO-0072</t>
  </si>
  <si>
    <t>Breakout 72 FO modulo 12 LC/UPC 100m</t>
  </si>
  <si>
    <t>FO-0073</t>
  </si>
  <si>
    <t>Etiquette plastique PM Orange</t>
  </si>
  <si>
    <t>FO-0074</t>
  </si>
  <si>
    <t>Colle pour tuyau PVC (bt 1kg)</t>
  </si>
  <si>
    <t>FO-0075</t>
  </si>
  <si>
    <t>Console à flasque L 35cm 2,8kg</t>
  </si>
  <si>
    <t>FO-0076</t>
  </si>
  <si>
    <t>Console à flasque L 45cm 2,8kg</t>
  </si>
  <si>
    <t>FO-0077</t>
  </si>
  <si>
    <t>Coude PVC D42/45mm 90° R210mm</t>
  </si>
  <si>
    <t>FO-0078</t>
  </si>
  <si>
    <t>Décapant pr tuyau PVC (bte1kg)</t>
  </si>
  <si>
    <t>FO-0079</t>
  </si>
  <si>
    <t>Dispositif horizont L2T 1060mm</t>
  </si>
  <si>
    <t>FO-0080</t>
  </si>
  <si>
    <t>Dispositif horizont L3T 1200mm</t>
  </si>
  <si>
    <t>FO-0081</t>
  </si>
  <si>
    <t>Equerre mobile GM L 240mm</t>
  </si>
  <si>
    <t>FO-0082</t>
  </si>
  <si>
    <t>Equerre mobile PM L 120mm</t>
  </si>
  <si>
    <t>FO-0083</t>
  </si>
  <si>
    <t>Fil nylon diamètre 3mm</t>
  </si>
  <si>
    <t>FO-0084</t>
  </si>
  <si>
    <t>Grillage avertiss plast vert</t>
  </si>
  <si>
    <t>FO-0085</t>
  </si>
  <si>
    <t>Poteau type LEGROS H 0.99 m</t>
  </si>
  <si>
    <t>FO-0086</t>
  </si>
  <si>
    <t>Trappe fonte L3T (cornière ou cadre)</t>
  </si>
  <si>
    <t>FO-0087</t>
  </si>
  <si>
    <t>Trappe fonte L3T (fermeture)</t>
  </si>
  <si>
    <t>FO-0088</t>
  </si>
  <si>
    <t>Trappe fonte L5T</t>
  </si>
  <si>
    <t>FO-0089</t>
  </si>
  <si>
    <t>Trappe fonte L2T</t>
  </si>
  <si>
    <t>FO-0090</t>
  </si>
  <si>
    <t>Tuyau PVC 6m, D 42/45 (45x1,8)</t>
  </si>
  <si>
    <t>FO-0091</t>
  </si>
  <si>
    <t>Tuyau PVC 6m, D 110</t>
  </si>
  <si>
    <t>FO-0092</t>
  </si>
  <si>
    <t>Tuyau Acier galva 6m, D 75/80</t>
  </si>
  <si>
    <t>FO-0093</t>
  </si>
  <si>
    <t>bouchon polyethyl pr tuy 42/45</t>
  </si>
  <si>
    <t>FO-0094</t>
  </si>
  <si>
    <t>Module optique d'immeuble 48 SC/APC</t>
  </si>
  <si>
    <t>FO-0095</t>
  </si>
  <si>
    <t>Module optique d'immeuble 1*32</t>
  </si>
  <si>
    <t>FO-0096</t>
  </si>
  <si>
    <t>Support mural pr module</t>
  </si>
  <si>
    <t>FO-0097</t>
  </si>
  <si>
    <t>Tiroir Optique 12FO OCI</t>
  </si>
  <si>
    <t>FO-0098</t>
  </si>
  <si>
    <t>Tiroir Optique 24FO OCI</t>
  </si>
  <si>
    <t>FO-0099</t>
  </si>
  <si>
    <t>Tiroir Optique 24FO FC/UPC</t>
  </si>
  <si>
    <t>FO-0100</t>
  </si>
  <si>
    <t>Tiroir Optique 48FO FC/UPC</t>
  </si>
  <si>
    <t>FO-0101</t>
  </si>
  <si>
    <t>Tiroir Optique 36FO FC/UPC</t>
  </si>
  <si>
    <t>FO-0102</t>
  </si>
  <si>
    <t>Tiroir Optique 6FO FC/UPC</t>
  </si>
  <si>
    <t>FO-0103</t>
  </si>
  <si>
    <t>Gaine grise D20 (100m)</t>
  </si>
  <si>
    <t>FO-0104</t>
  </si>
  <si>
    <t>Borne parvillonnaire</t>
  </si>
  <si>
    <t>FO-0105</t>
  </si>
  <si>
    <t>Decam D18,10 kits</t>
  </si>
  <si>
    <t>FO-0106</t>
  </si>
  <si>
    <t>Decam D18</t>
  </si>
  <si>
    <t>FO-0107</t>
  </si>
  <si>
    <t>Pince hypoclamp</t>
  </si>
  <si>
    <t>FO-0108</t>
  </si>
  <si>
    <t>Pince arobase</t>
  </si>
  <si>
    <t>FO-0109</t>
  </si>
  <si>
    <t>Peigne simple</t>
  </si>
  <si>
    <t>FO-0110</t>
  </si>
  <si>
    <t>Jarret LC/UPC</t>
  </si>
  <si>
    <t>FO-0111</t>
  </si>
  <si>
    <t>Jarret LC/PC 7M Jaune</t>
  </si>
  <si>
    <t>FO-0112</t>
  </si>
  <si>
    <t>Jarret SC/APC 3,5M jaune</t>
  </si>
  <si>
    <t>FO-0113</t>
  </si>
  <si>
    <t>Jarret FC/UPC 2M</t>
  </si>
  <si>
    <t>FO-0114</t>
  </si>
  <si>
    <t>Jarret LC/UPC-FC/UPC 10M duplex</t>
  </si>
  <si>
    <t>FO-0115</t>
  </si>
  <si>
    <t>Jarret LC/UPC-FC/UPC 15M duplex</t>
  </si>
  <si>
    <t>FO-0116</t>
  </si>
  <si>
    <t>Jarret SC/UPC 10M duplex</t>
  </si>
  <si>
    <t>FO-0117</t>
  </si>
  <si>
    <t>Jarret LC/UPC 10M duplex</t>
  </si>
  <si>
    <t>FO-0118</t>
  </si>
  <si>
    <t>Jarret LC/FC 10M duplex</t>
  </si>
  <si>
    <t>FO-0119</t>
  </si>
  <si>
    <t>Jarret LC/LC 20M duplex</t>
  </si>
  <si>
    <t>FO-0120</t>
  </si>
  <si>
    <t>Jarret LC/FC 5M Simplex</t>
  </si>
  <si>
    <t>FO-0121</t>
  </si>
  <si>
    <t>Jarret LC/LC 1M simplex</t>
  </si>
  <si>
    <t>FO-0122</t>
  </si>
  <si>
    <t>Jarret FC-FC 15M simplex</t>
  </si>
  <si>
    <t>FO-0123</t>
  </si>
  <si>
    <t>Jarret FC-FC 5M simplex</t>
  </si>
  <si>
    <t>FO-0124</t>
  </si>
  <si>
    <t>Jarret FC-FC 20M simplex</t>
  </si>
  <si>
    <t>FO-0125</t>
  </si>
  <si>
    <t>Jarret FC-FC 10M simplex</t>
  </si>
  <si>
    <t>FO-0126</t>
  </si>
  <si>
    <t>Jarret GJXH-1BSC/UPC-SC*UPC 3M</t>
  </si>
  <si>
    <t>FO-0127</t>
  </si>
  <si>
    <t>Goulotte 50*100</t>
  </si>
  <si>
    <t>FO-0128</t>
  </si>
  <si>
    <t>Cheville+piton pour goulotte</t>
  </si>
  <si>
    <t>FO-0129</t>
  </si>
  <si>
    <t>Rack</t>
  </si>
  <si>
    <t>GSM-0001</t>
  </si>
  <si>
    <t>Cheville plastique+vis</t>
  </si>
  <si>
    <t>GSM-0002</t>
  </si>
  <si>
    <t>Interrupteur simple</t>
  </si>
  <si>
    <t>GSM-0003</t>
  </si>
  <si>
    <t>Cheville plastique vert</t>
  </si>
  <si>
    <t>GSM-0004</t>
  </si>
  <si>
    <t>Douille lapamdaire</t>
  </si>
  <si>
    <t>GSM-0005</t>
  </si>
  <si>
    <t>Reglelle 1*1200mm+Lambe</t>
  </si>
  <si>
    <t>GSM-0006</t>
  </si>
  <si>
    <t>Lampe MAZDA 220V-50-60</t>
  </si>
  <si>
    <t>GSM-0007</t>
  </si>
  <si>
    <t>Prise encastrée</t>
  </si>
  <si>
    <t>GSM-0008</t>
  </si>
  <si>
    <t>Isolateur 35mm</t>
  </si>
  <si>
    <t>GSM-0009</t>
  </si>
  <si>
    <t>Raccord plat</t>
  </si>
  <si>
    <t>GSM-0010</t>
  </si>
  <si>
    <t>Collier inox 4,6*400</t>
  </si>
  <si>
    <t>GSM-0011</t>
  </si>
  <si>
    <t>Collier inox 4,6*200</t>
  </si>
  <si>
    <t>GSM-0012</t>
  </si>
  <si>
    <t>Grillage orange</t>
  </si>
  <si>
    <t>GSM-0013</t>
  </si>
  <si>
    <t>TP Link</t>
  </si>
  <si>
    <t>GSM-0014</t>
  </si>
  <si>
    <t>Embou noir</t>
  </si>
  <si>
    <t>GSM-0015</t>
  </si>
  <si>
    <t>Balise solaire</t>
  </si>
  <si>
    <t>GSM-0016</t>
  </si>
  <si>
    <t>Collier embase</t>
  </si>
  <si>
    <t>GSM-0017</t>
  </si>
  <si>
    <t>Coffret 10 modules</t>
  </si>
  <si>
    <t>GSM-0018</t>
  </si>
  <si>
    <t>Coffret 12 modules</t>
  </si>
  <si>
    <t>GSM-0019</t>
  </si>
  <si>
    <t>Boite de derivation</t>
  </si>
  <si>
    <t>GSM-0020</t>
  </si>
  <si>
    <t>Circlip plat</t>
  </si>
  <si>
    <t>GSM-0021</t>
  </si>
  <si>
    <t>Corse 16</t>
  </si>
  <si>
    <t>GSM-0022</t>
  </si>
  <si>
    <t>Corse 35</t>
  </si>
  <si>
    <t>GSM-0023</t>
  </si>
  <si>
    <t>Circlip rond</t>
  </si>
  <si>
    <t>GSM-0024</t>
  </si>
  <si>
    <t>DPN 10A</t>
  </si>
  <si>
    <t>GSM-0025</t>
  </si>
  <si>
    <t>DPN 16A</t>
  </si>
  <si>
    <t>GSM-0026</t>
  </si>
  <si>
    <t>Parafoudre</t>
  </si>
  <si>
    <t>GSM-0027</t>
  </si>
  <si>
    <t>Vis 4*40mm</t>
  </si>
  <si>
    <t>GSM-0028</t>
  </si>
  <si>
    <t>Vis parquer 4*20</t>
  </si>
  <si>
    <t>GSM-0029</t>
  </si>
  <si>
    <t>Cosse pour piquet de terre</t>
  </si>
  <si>
    <t>GSM-0030</t>
  </si>
  <si>
    <t>Domino grand</t>
  </si>
  <si>
    <t>GSM-0031</t>
  </si>
  <si>
    <t>Domino petit</t>
  </si>
  <si>
    <t>GSM-0032</t>
  </si>
  <si>
    <t>Cable Jaune/vert  (100m)</t>
  </si>
  <si>
    <t>GSM-0033</t>
  </si>
  <si>
    <t>Cable HG1000 3*2,5 (100m)</t>
  </si>
  <si>
    <t>GSM-0034</t>
  </si>
  <si>
    <t>Cable HG1000 3*1,5 (100m)</t>
  </si>
  <si>
    <t>GSM-0035</t>
  </si>
  <si>
    <t>Gaine grise D40 (50m)</t>
  </si>
  <si>
    <t>GSM-0036</t>
  </si>
  <si>
    <t>Barbelet D50m</t>
  </si>
  <si>
    <t>GSM-0037</t>
  </si>
  <si>
    <t>Support barbelet D50m</t>
  </si>
  <si>
    <t>GSM-0038</t>
  </si>
  <si>
    <t>Peinture blanche(30kg)</t>
  </si>
  <si>
    <t>GSM-0039</t>
  </si>
  <si>
    <t>Peinture rouge(30kg)</t>
  </si>
  <si>
    <t>GSM-0040</t>
  </si>
  <si>
    <t>Peinture brillant jaune(4kg)</t>
  </si>
  <si>
    <t>GSM-0041</t>
  </si>
  <si>
    <t>Vis 100mm</t>
  </si>
  <si>
    <t>GSM-0042</t>
  </si>
  <si>
    <t>Plaque de signalisation pt</t>
  </si>
  <si>
    <t>GSM-0043</t>
  </si>
  <si>
    <t>Barette de terre 8 trous</t>
  </si>
  <si>
    <t>GSM-0044</t>
  </si>
  <si>
    <t>boulon 8/30</t>
  </si>
  <si>
    <t>GSM-0045</t>
  </si>
  <si>
    <t>boulon  M10*50</t>
  </si>
  <si>
    <t>GSM-0046</t>
  </si>
  <si>
    <t>boulon  M12*60</t>
  </si>
  <si>
    <t>GSM-0047</t>
  </si>
  <si>
    <t>TGBT Coffret</t>
  </si>
  <si>
    <t>GSM-0048</t>
  </si>
  <si>
    <t>Abri MTN</t>
  </si>
  <si>
    <t>GSM-0049</t>
  </si>
  <si>
    <t>Tube orange (50m)</t>
  </si>
  <si>
    <t>GSM-0050</t>
  </si>
  <si>
    <t>Câble alarme</t>
  </si>
  <si>
    <t>GSM-0051</t>
  </si>
  <si>
    <t>Scotch noir</t>
  </si>
  <si>
    <t>GSM-0052</t>
  </si>
  <si>
    <t>Scotch jaune/noir</t>
  </si>
  <si>
    <t>GSM-0053</t>
  </si>
  <si>
    <t>Cuivre nu 29m2</t>
  </si>
  <si>
    <t>GSM-0054</t>
  </si>
  <si>
    <t>Regard de visite</t>
  </si>
  <si>
    <t>GSM-0055</t>
  </si>
  <si>
    <t>Support balise</t>
  </si>
  <si>
    <t>GSM-0056</t>
  </si>
  <si>
    <t>Feuille de tole (2m)</t>
  </si>
  <si>
    <t>GSM-0057</t>
  </si>
  <si>
    <t>Boulon 24</t>
  </si>
  <si>
    <t>GSM-0058</t>
  </si>
  <si>
    <t>Vis autoforeuse petit</t>
  </si>
  <si>
    <t>GSM-0059</t>
  </si>
  <si>
    <t>Vis autoforeuse grand</t>
  </si>
  <si>
    <t>GSM-0060</t>
  </si>
  <si>
    <t>Interrupteur double</t>
  </si>
  <si>
    <t>GSM-0061</t>
  </si>
  <si>
    <t>Peinture bleu (4kg)</t>
  </si>
  <si>
    <t>GSM-0062</t>
  </si>
  <si>
    <t>Tank</t>
  </si>
  <si>
    <t>GSM-0063</t>
  </si>
  <si>
    <t>Ligne de vie (32m)</t>
  </si>
  <si>
    <t>GSM-0064</t>
  </si>
  <si>
    <t>Ligne de vie (18m)</t>
  </si>
  <si>
    <t>GSM-0065</t>
  </si>
  <si>
    <t>Groupe electrogène FG WILSON 22 KVA</t>
  </si>
  <si>
    <t>GSM-0066</t>
  </si>
  <si>
    <t>Chargeur MDR-60-12''</t>
  </si>
  <si>
    <t>BLR-0001</t>
  </si>
  <si>
    <t>Mani moyen</t>
  </si>
  <si>
    <t>BLR-0002</t>
  </si>
  <si>
    <t>Serre câble petit</t>
  </si>
  <si>
    <t>BLR-0003</t>
  </si>
  <si>
    <t>Serre câble N°19</t>
  </si>
  <si>
    <t>BLR-0004</t>
  </si>
  <si>
    <t>Mani grand</t>
  </si>
  <si>
    <t>BLR-0005</t>
  </si>
  <si>
    <t>Hauban</t>
  </si>
  <si>
    <t>BLR-0006</t>
  </si>
  <si>
    <t>Câble informatique 500m</t>
  </si>
  <si>
    <t>BLR-0007</t>
  </si>
  <si>
    <t>Cordon informatique 1m</t>
  </si>
  <si>
    <t>BLR-0008</t>
  </si>
  <si>
    <t>Cordon informatique 3m</t>
  </si>
  <si>
    <t>BLR-0009</t>
  </si>
  <si>
    <t>Bombe galva</t>
  </si>
  <si>
    <t>NEW-0001</t>
  </si>
  <si>
    <t>BLR (a classer)</t>
  </si>
  <si>
    <t>Bombe à air sèc</t>
  </si>
  <si>
    <t>Nouvel article signale - inventaire physique a realiser</t>
  </si>
  <si>
    <t>NEW-0002</t>
  </si>
  <si>
    <t>Meplat 30x2mm</t>
  </si>
  <si>
    <t>NEW-0003</t>
  </si>
  <si>
    <t>NEW-0004</t>
  </si>
  <si>
    <t>câble parafoudre</t>
  </si>
  <si>
    <t>NEW-0005</t>
  </si>
  <si>
    <t>NEW-0006</t>
  </si>
  <si>
    <t>Attache meplat</t>
  </si>
  <si>
    <t>NEW-0007</t>
  </si>
  <si>
    <t>Bitume cargot</t>
  </si>
  <si>
    <t>NEW-0008</t>
  </si>
  <si>
    <t>Tendeur fil barbélé</t>
  </si>
  <si>
    <t>NEW-0009</t>
  </si>
  <si>
    <t>Manchon</t>
  </si>
  <si>
    <t>NEW-0010</t>
  </si>
  <si>
    <t>Silicone</t>
  </si>
  <si>
    <t>ENTREES DE MATERIEL</t>
  </si>
  <si>
    <t>Les mouvements historiques (janvier 2026) sont deja integres dans le Stock Initial de la Base Articles (voir feuille Historique_Import_2026 pour le detail brut). Enregistrez ici uniquement les NOUVELLES entrees.</t>
  </si>
  <si>
    <t>Date</t>
  </si>
  <si>
    <t>N Bon</t>
  </si>
  <si>
    <t>Fournisseur</t>
  </si>
  <si>
    <t>Magasin</t>
  </si>
  <si>
    <t>Responsable</t>
  </si>
  <si>
    <t>Quantite</t>
  </si>
  <si>
    <t>Prix Unitaire</t>
  </si>
  <si>
    <t>Montant</t>
  </si>
  <si>
    <t>Code Projet</t>
  </si>
  <si>
    <t>EXEMPLE</t>
  </si>
  <si>
    <t>EX-0000</t>
  </si>
  <si>
    <t>OUMAR</t>
  </si>
  <si>
    <t>FTTH</t>
  </si>
  <si>
    <t>URIEL</t>
  </si>
  <si>
    <t>Ligne d'exemple - a supprimer ou modifier</t>
  </si>
  <si>
    <t>SORTIES DE MATERIEL</t>
  </si>
  <si>
    <t>Enregistrez ici chaque sortie de materiel (chantier, employe, projet).</t>
  </si>
  <si>
    <t>N Bon Sortie</t>
  </si>
  <si>
    <t>Employe</t>
  </si>
  <si>
    <t>Departement</t>
  </si>
  <si>
    <t>Chantier</t>
  </si>
  <si>
    <t>Destination</t>
  </si>
  <si>
    <t>Motif</t>
  </si>
  <si>
    <t>Technicien A</t>
  </si>
  <si>
    <t>Site Cite Cephal</t>
  </si>
  <si>
    <t>Deploiement</t>
  </si>
  <si>
    <t>STOCK EN TEMPS REEL</t>
  </si>
  <si>
    <t>Entrees cumulees</t>
  </si>
  <si>
    <t>Sorties cumulees</t>
  </si>
  <si>
    <t>Stock Actuel</t>
  </si>
  <si>
    <t>Valeur Stock (FCFA)</t>
  </si>
  <si>
    <t>GESTION DES EQUIPEMENTS ET OUTILS</t>
  </si>
  <si>
    <t>Code Inventaire</t>
  </si>
  <si>
    <t>Marque</t>
  </si>
  <si>
    <t>Numero de serie</t>
  </si>
  <si>
    <t>Etat</t>
  </si>
  <si>
    <t>Employe affecte</t>
  </si>
  <si>
    <t>Localisation</t>
  </si>
  <si>
    <t>Date achat</t>
  </si>
  <si>
    <t>Garantie jusqu au</t>
  </si>
  <si>
    <t>Dernier Mouvement (date)</t>
  </si>
  <si>
    <t>Projet Actuel</t>
  </si>
  <si>
    <t>Statut Actuel (Tracabilite)</t>
  </si>
  <si>
    <t>Jours Depuis Dernier Mouvement</t>
  </si>
  <si>
    <t>EQ-001</t>
  </si>
  <si>
    <t>Imprimante</t>
  </si>
  <si>
    <t>Depot Bureau</t>
  </si>
  <si>
    <t>EQ-002</t>
  </si>
  <si>
    <t>Ruban de balisage</t>
  </si>
  <si>
    <t>EQ-003</t>
  </si>
  <si>
    <t>Projecteur</t>
  </si>
  <si>
    <t>EQ-004</t>
  </si>
  <si>
    <t>Powermeter</t>
  </si>
  <si>
    <t>EQ-005</t>
  </si>
  <si>
    <t>Niveau 60cm</t>
  </si>
  <si>
    <t>EQ-006</t>
  </si>
  <si>
    <t>Detecteur de metaux</t>
  </si>
  <si>
    <t>EQ-007</t>
  </si>
  <si>
    <t>Stickers</t>
  </si>
  <si>
    <t>EQ-008</t>
  </si>
  <si>
    <t>Cliveuse</t>
  </si>
  <si>
    <t>EQ-009</t>
  </si>
  <si>
    <t>Theodolite</t>
  </si>
  <si>
    <t>EQ-010</t>
  </si>
  <si>
    <t>Perceuse filaire</t>
  </si>
  <si>
    <t>EQ-011</t>
  </si>
  <si>
    <t>Caisse a outils</t>
  </si>
  <si>
    <t>EQ-012</t>
  </si>
  <si>
    <t>Mallette a outils</t>
  </si>
  <si>
    <t>EQ-013</t>
  </si>
  <si>
    <t>Materiel topo</t>
  </si>
  <si>
    <t>EQ-014</t>
  </si>
  <si>
    <t>Divot</t>
  </si>
  <si>
    <t>EQ-015</t>
  </si>
  <si>
    <t>Optical fibre kit</t>
  </si>
  <si>
    <t>EQ-016</t>
  </si>
  <si>
    <t>Megger earth tester</t>
  </si>
  <si>
    <t>EQ-017</t>
  </si>
  <si>
    <t>Tester d'etancheite</t>
  </si>
  <si>
    <t>EQ-018</t>
  </si>
  <si>
    <t>Megohmmetre</t>
  </si>
  <si>
    <t>EQ-019</t>
  </si>
  <si>
    <t>Merche</t>
  </si>
  <si>
    <t>EQ-020</t>
  </si>
  <si>
    <t>Aerosols</t>
  </si>
  <si>
    <t>EQ-021</t>
  </si>
  <si>
    <t>Imprimante HP DeskJet 3835</t>
  </si>
  <si>
    <t>EQ-022</t>
  </si>
  <si>
    <t>Imprimante HP DeskJet 2130</t>
  </si>
  <si>
    <t>EQ-023</t>
  </si>
  <si>
    <t>Ordinateur portable 1</t>
  </si>
  <si>
    <t>EQ-024</t>
  </si>
  <si>
    <t>Ordinateur portable 2</t>
  </si>
  <si>
    <t>EQ-025</t>
  </si>
  <si>
    <t>Grimpette</t>
  </si>
  <si>
    <t>EQ-026</t>
  </si>
  <si>
    <t>Ceinture de securite</t>
  </si>
  <si>
    <t>EQ-027</t>
  </si>
  <si>
    <t>Harnais 35m</t>
  </si>
  <si>
    <t>EQ-028</t>
  </si>
  <si>
    <t>Power meter (2)</t>
  </si>
  <si>
    <t>EQ-029</t>
  </si>
  <si>
    <t>Cliveuse (2)</t>
  </si>
  <si>
    <t>EQ-030</t>
  </si>
  <si>
    <t>Bombe a air sec</t>
  </si>
  <si>
    <t>EQ-031</t>
  </si>
  <si>
    <t>Soudeuse FO n1</t>
  </si>
  <si>
    <t>EQ-032</t>
  </si>
  <si>
    <t>Soudeuse FO n2</t>
  </si>
  <si>
    <t>EQ-033</t>
  </si>
  <si>
    <t>Soudeuse FO n3</t>
  </si>
  <si>
    <t>EQ-034</t>
  </si>
  <si>
    <t>Soudeuse FO n4</t>
  </si>
  <si>
    <t>EQ-035</t>
  </si>
  <si>
    <t>Soudeuse FO n5</t>
  </si>
  <si>
    <t>EQ-036</t>
  </si>
  <si>
    <t>Soudeuse FO n6</t>
  </si>
  <si>
    <t>EQ-037</t>
  </si>
  <si>
    <t>Soudeuse FO n7</t>
  </si>
  <si>
    <t>FICHE PROJETS / CHANTIERS</t>
  </si>
  <si>
    <t>Une ligne = un projet/chantier. Cree la fiche ici avant d'enregistrer des affectations de materiel dans la feuille Affectations (les listes deroulantes de cette derniere se basent sur cette liste).</t>
  </si>
  <si>
    <t>Nom du Projet</t>
  </si>
  <si>
    <t>Client</t>
  </si>
  <si>
    <t>Region</t>
  </si>
  <si>
    <t>Ville</t>
  </si>
  <si>
    <t>Chef de Projet</t>
  </si>
  <si>
    <t>Conducteur des Travaux</t>
  </si>
  <si>
    <t>Responsable Logistique</t>
  </si>
  <si>
    <t>Societe Sous-traitante</t>
  </si>
  <si>
    <t>Budget Materiel Alloue (FCFA)</t>
  </si>
  <si>
    <t>Date Debut</t>
  </si>
  <si>
    <t>Date Fin Prevue</t>
  </si>
  <si>
    <t>Statut Projet</t>
  </si>
  <si>
    <t>Nb Equip. Actuellement Affectes</t>
  </si>
  <si>
    <t>Consommables Sortis (Qte)</t>
  </si>
  <si>
    <t>PRJ-0001</t>
  </si>
  <si>
    <t>MTN - Site Yopougon PK18</t>
  </si>
  <si>
    <t>MTN</t>
  </si>
  <si>
    <t>Abidjan</t>
  </si>
  <si>
    <t>Yopougon</t>
  </si>
  <si>
    <t>Site GSM PK18</t>
  </si>
  <si>
    <t>A definir</t>
  </si>
  <si>
    <t>EXEMPLE - a completer / dupliquer</t>
  </si>
  <si>
    <t>PRJ-0002</t>
  </si>
  <si>
    <t>Orange - Backbone Bouake</t>
  </si>
  <si>
    <t>Orange</t>
  </si>
  <si>
    <t>Bouake</t>
  </si>
  <si>
    <t>Liaison Backbone</t>
  </si>
  <si>
    <t>PRJ-0003</t>
  </si>
  <si>
    <t>Moov Africa - Site Korhogo</t>
  </si>
  <si>
    <t>Moov Africa</t>
  </si>
  <si>
    <t>Korhogo</t>
  </si>
  <si>
    <t>Site GSM Korhogo</t>
  </si>
  <si>
    <t>AFFECTATIONS &amp; TRACABILITE DU MATERIEL</t>
  </si>
  <si>
    <t>Chaque ligne = un mouvement de materiel (sortie, transfert, retour). L'historique complet d'un equipement s'obtient en filtrant la colonne Code Materiel. Le Statut et le flag Retard sont calcules automatiquement. Colonnes grisees = calculees automatiquement, ne pas modifier.</t>
  </si>
  <si>
    <t>N Mouvement</t>
  </si>
  <si>
    <t>Date Sortie</t>
  </si>
  <si>
    <t>Employe Beneficiaire</t>
  </si>
  <si>
    <t>Magasin de Depart</t>
  </si>
  <si>
    <t>Code Materiel</t>
  </si>
  <si>
    <t>Numero de Serie</t>
  </si>
  <si>
    <t>QR Code</t>
  </si>
  <si>
    <t>Etat avant sortie</t>
  </si>
  <si>
    <t>Etat au retour</t>
  </si>
  <si>
    <t>Date retour prevue</t>
  </si>
  <si>
    <t>Date reelle retour</t>
  </si>
  <si>
    <t>Jours d'utilisation</t>
  </si>
  <si>
    <t>Signature electronique</t>
  </si>
  <si>
    <t>Retard</t>
  </si>
  <si>
    <t>Cle</t>
  </si>
  <si>
    <t>Rang Materiel</t>
  </si>
  <si>
    <t>Cle Rang</t>
  </si>
  <si>
    <t>Rang Retard</t>
  </si>
  <si>
    <t>Cle Retard</t>
  </si>
  <si>
    <t>Anomalie Double Affectation</t>
  </si>
  <si>
    <t>Technicien EXEMPLE</t>
  </si>
  <si>
    <t>RECHERCHE INSTANTANEE - FICHE MATERIEL</t>
  </si>
  <si>
    <t>Saisissez un Code Materiel (ex: EQ-001) dans la case bleue ci-dessous : la fiche se met a jour automatiquement avec sa position actuelle, son statut et son historique de mouvements.</t>
  </si>
  <si>
    <t>Code Materiel a rechercher :</t>
  </si>
  <si>
    <t>Etat (fiche equipement)</t>
  </si>
  <si>
    <t>Localisation declaree</t>
  </si>
  <si>
    <t>Projet actuel</t>
  </si>
  <si>
    <t>Statut actuel (tracabilite)</t>
  </si>
  <si>
    <t>Dernier mouvement</t>
  </si>
  <si>
    <t>Jours depuis dernier mouvement</t>
  </si>
  <si>
    <t>Nombre total de mouvements (historique)</t>
  </si>
  <si>
    <t>HISTORIQUE COMPLET DES MOUVEMENTS DE CE MATERIEL</t>
  </si>
  <si>
    <t>Les 20 premiers mouvements enregistres pour ce materiel (dans l'ordre de saisie) s'affichent ci-dessus. Au-dela de 20 mouvements, consultez directement la feuille Affectations filtree sur ce Code Materiel.</t>
  </si>
  <si>
    <t>ALERTES STOCK - SITUATION AU 14/07/2026</t>
  </si>
  <si>
    <t>Photo des articles CRITIQUE / RUPTURE au moment de la generation du fichier. Pour une vue toujours a jour, utilisez le filtre automatique sur la colonne Statut de la feuille Stock_TempsReel.</t>
  </si>
  <si>
    <t>ALERTES INTELLIGENTES - TRACABILITE DU MATERIEL</t>
  </si>
  <si>
    <t>Retours en retard</t>
  </si>
  <si>
    <t>Doublons de numero de serie</t>
  </si>
  <si>
    <t>Affectations doubles suspectes</t>
  </si>
  <si>
    <t>Garanties expirant sous 60 jours</t>
  </si>
  <si>
    <t>Materiels sans mouvement &gt; 180 jours</t>
  </si>
  <si>
    <t>Pour visualiser directement les lignes concernees : filtrez la colonne 'Retard' (feuille Affectations) sur OUI, la colonne 'Anomalie Double Affectation' (feuille Affectations) sur OUI, ou triez la feuille Equipements par colonne 'Numero de serie' / 'Garantie jusqu au' / 'Jours Depuis Dernier Mouvement'. Les cellules concernees y sont deja mises en evidence par mise en forme conditionnelle.</t>
  </si>
  <si>
    <t>MATERIELS EN RETARD DE RETOUR</t>
  </si>
  <si>
    <t>Jours de retard</t>
  </si>
  <si>
    <t>HISTORIQUE - MOUVEMENTS BRUTS IMPORTES DU FICHIER D'ORIGINE (JANV. 2026)</t>
  </si>
  <si>
    <t>Feuille de tracabilite (lecture seule). Ces mouvements sont deja inclus dans le Stock Initial de la Base Articles - ne pas les ressaisir dans Entrees/Sorties. 2 lignes marquees A VERIFIER correspondent a des libelles ambigus du fichier source (COLLIERS '100/92', PITON generique) non rattaches avec certitude a un article precis : a reclasser manuellement si necessaire.</t>
  </si>
  <si>
    <t>Article (libelle brut)</t>
  </si>
  <si>
    <t>Code Article rapproche</t>
  </si>
  <si>
    <t>Remarque</t>
  </si>
  <si>
    <t>PINCES ADSS 6</t>
  </si>
  <si>
    <t>DRISSA</t>
  </si>
  <si>
    <t>BOCOUM</t>
  </si>
  <si>
    <t>COLLIERS (valeur brute: 100/92)</t>
  </si>
  <si>
    <t>KAMKO</t>
  </si>
  <si>
    <t>A VERIFIER</t>
  </si>
  <si>
    <t>Libelle ambigu dans le fichier source</t>
  </si>
  <si>
    <t>ATTACHES</t>
  </si>
  <si>
    <t>PITON</t>
  </si>
  <si>
    <t>Type de piton non precise (bois/beton)</t>
  </si>
  <si>
    <t>PARAMETRES ET LISTES DE REFERENCE</t>
  </si>
  <si>
    <t>Familles</t>
  </si>
  <si>
    <t>Emplacements</t>
  </si>
  <si>
    <t>Fournisseurs</t>
  </si>
  <si>
    <t>Statuts_Article</t>
  </si>
  <si>
    <t>Projets</t>
  </si>
  <si>
    <t>Magasins</t>
  </si>
  <si>
    <t>Etats_Equipement</t>
  </si>
  <si>
    <t>Statuts_Stock</t>
  </si>
  <si>
    <t>Statuts_Audit</t>
  </si>
  <si>
    <t>Regions</t>
  </si>
  <si>
    <t>Clients</t>
  </si>
  <si>
    <t>Statuts_Projet</t>
  </si>
  <si>
    <t>Ouvert</t>
  </si>
  <si>
    <t>Depot FTTH</t>
  </si>
  <si>
    <t>Inactif</t>
  </si>
  <si>
    <t>En cours</t>
  </si>
  <si>
    <t>En pause</t>
  </si>
  <si>
    <t>Depot GSM</t>
  </si>
  <si>
    <t>BTP</t>
  </si>
  <si>
    <t>Clos</t>
  </si>
  <si>
    <t>Yamoussoukro</t>
  </si>
  <si>
    <t>Cloture</t>
  </si>
  <si>
    <t>Outillage</t>
  </si>
  <si>
    <t>Depot BTP</t>
  </si>
  <si>
    <t>Logistique</t>
  </si>
  <si>
    <t>San Pedro</t>
  </si>
  <si>
    <t>Autre</t>
  </si>
  <si>
    <t>Vehicule</t>
  </si>
  <si>
    <t>Daloa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</si>
</sst>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charset val="1"/>
    </font>
    <font>
      <b/>
      <sz val="20"/>
      <color rgb="FFFFFFFF"/>
      <name val="Segoe UI"/>
      <charset val="1"/>
    </font>
    <font>
      <i/>
      <sz val="10"/>
      <color rgb="FF1F3864"/>
      <name val="Segoe UI"/>
      <charset val="1"/>
    </font>
    <font>
      <b/>
      <sz val="9.5"/>
      <color rgb="FFFFFFFF"/>
      <name val="Segoe UI"/>
      <charset val="1"/>
    </font>
    <font>
      <b/>
      <sz val="20"/>
      <color rgb="FF1F3864"/>
      <name val="Segoe UI"/>
      <charset val="1"/>
    </font>
    <font>
      <b/>
      <sz val="12"/>
      <color rgb="FF1F3864"/>
      <name val="Segoe UI"/>
      <charset val="1"/>
    </font>
    <font>
      <b/>
      <sz val="10"/>
      <color rgb="FFFFFFFF"/>
      <name val="Segoe UI"/>
      <charset val="1"/>
    </font>
    <font>
      <b/>
      <sz val="10"/>
      <color rgb="FF000000"/>
      <name val="Segoe UI"/>
      <charset val="1"/>
    </font>
    <font>
      <b/>
      <sz val="18"/>
      <color rgb="FFFFFFFF"/>
      <name val="Segoe UI"/>
      <charset val="1"/>
    </font>
    <font>
      <b/>
      <sz val="11"/>
      <color rgb="FF000000"/>
      <name val="Segoe UI"/>
      <charset val="1"/>
    </font>
    <font>
      <b/>
      <sz val="10"/>
      <color rgb="FF0000FF"/>
      <name val="Segoe UI"/>
      <charset val="1"/>
    </font>
    <font>
      <b/>
      <sz val="18"/>
      <color rgb="FF1F3864"/>
      <name val="Segoe UI"/>
      <charset val="1"/>
    </font>
    <font>
      <b/>
      <sz val="14"/>
      <color rgb="FFFFFFFF"/>
      <name val="Segoe UI"/>
      <charset val="1"/>
    </font>
    <font>
      <i/>
      <sz val="9"/>
      <color rgb="FF808080"/>
      <name val="Segoe UI"/>
      <charset val="1"/>
    </font>
    <font>
      <b/>
      <sz val="11"/>
      <color rgb="FFFFFFFF"/>
      <name val="Segoe UI"/>
      <charset val="1"/>
    </font>
    <font>
      <sz val="10"/>
      <color rgb="FF000000"/>
      <name val="Segoe UI"/>
      <charset val="1"/>
    </font>
    <font>
      <sz val="10"/>
      <color rgb="FF0000FF"/>
      <name val="Segoe UI"/>
      <charset val="1"/>
    </font>
    <font>
      <sz val="10"/>
      <color rgb="FF808080"/>
      <name val="Segoe UI"/>
      <charset val="1"/>
    </font>
    <font>
      <i/>
      <sz val="10"/>
      <color rgb="FF000000"/>
      <name val="Segoe UI"/>
      <charset val="1"/>
    </font>
    <font>
      <b/>
      <sz val="12"/>
      <color rgb="FF000000"/>
      <name val="Segoe UI"/>
      <charset val="1"/>
    </font>
    <font>
      <b/>
      <sz val="12"/>
      <color rgb="FF0000FF"/>
      <name val="Segoe UI"/>
      <charset val="1"/>
    </font>
    <font>
      <b/>
      <sz val="9"/>
      <color rgb="FFFFFFFF"/>
      <name val="Segoe UI"/>
      <charset val="1"/>
    </font>
    <font>
      <b/>
      <sz val="13"/>
      <color rgb="FFFFFFFF"/>
      <name val="Segoe UI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1FA"/>
        <bgColor rgb="FFF2F2F2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DC853E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808080"/>
        <bgColor rgb="FF87878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BF1FA"/>
      </patternFill>
    </fill>
    <fill>
      <patternFill patternType="solid">
        <fgColor rgb="FFDCE6F1"/>
        <bgColor rgb="FFE2EFDA"/>
      </patternFill>
    </fill>
    <fill>
      <patternFill patternType="solid">
        <fgColor rgb="FFFCE4E4"/>
        <bgColor rgb="FFFCE4D6"/>
      </patternFill>
    </fill>
    <fill>
      <patternFill patternType="solid">
        <fgColor rgb="FFFCE4D6"/>
        <bgColor rgb="FFFCE4E4"/>
      </patternFill>
    </fill>
    <fill>
      <patternFill patternType="solid">
        <fgColor rgb="FFFBDCDC"/>
        <bgColor rgb="FF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3" fillId="5" borderId="0" xfId="0" applyFont="1" applyFill="1" applyBorder="1" applyAlignment="1">
      <alignment horizontal="left" vertical="center" wrapText="1" indent="1"/>
    </xf>
    <xf numFmtId="0" fontId="3" fillId="6" borderId="0" xfId="0" applyFont="1" applyFill="1" applyBorder="1" applyAlignment="1">
      <alignment horizontal="left" vertical="center" wrapText="1" indent="1"/>
    </xf>
    <xf numFmtId="3" fontId="4" fillId="7" borderId="1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left" vertical="center" wrapText="1" indent="1"/>
    </xf>
    <xf numFmtId="164" fontId="4" fillId="7" borderId="1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left" vertical="center" wrapText="1" indent="1"/>
    </xf>
    <xf numFmtId="2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0" borderId="0" xfId="0" applyFont="1"/>
    <xf numFmtId="0" fontId="8" fillId="2" borderId="0" xfId="0" applyFont="1" applyFill="1" applyBorder="1" applyAlignment="1">
      <alignment horizontal="center" vertical="center"/>
    </xf>
    <xf numFmtId="0" fontId="9" fillId="0" borderId="0" xfId="0" applyFont="1"/>
    <xf numFmtId="0" fontId="10" fillId="10" borderId="2" xfId="0" applyFont="1" applyFill="1" applyBorder="1" applyProtection="1">
      <protection locked="0"/>
    </xf>
    <xf numFmtId="3" fontId="11" fillId="7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 applyProtection="1">
      <alignment horizontal="left" vertical="center"/>
      <protection locked="0"/>
    </xf>
    <xf numFmtId="0" fontId="15" fillId="7" borderId="1" xfId="0" applyFont="1" applyFill="1" applyBorder="1" applyAlignment="1" applyProtection="1">
      <alignment horizontal="left" vertical="center" wrapText="1"/>
      <protection locked="0"/>
    </xf>
    <xf numFmtId="0" fontId="16" fillId="7" borderId="1" xfId="0" applyFont="1" applyFill="1" applyBorder="1" applyAlignment="1" applyProtection="1">
      <alignment horizontal="left" vertical="center"/>
      <protection locked="0"/>
    </xf>
    <xf numFmtId="3" fontId="16" fillId="7" borderId="1" xfId="0" applyNumberFormat="1" applyFont="1" applyFill="1" applyBorder="1" applyAlignment="1" applyProtection="1">
      <alignment horizontal="left" vertical="center"/>
      <protection locked="0"/>
    </xf>
    <xf numFmtId="3" fontId="15" fillId="7" borderId="1" xfId="0" applyNumberFormat="1" applyFont="1" applyFill="1" applyBorder="1" applyAlignment="1" applyProtection="1">
      <alignment horizontal="left" vertical="center"/>
      <protection locked="0"/>
    </xf>
    <xf numFmtId="14" fontId="15" fillId="7" borderId="1" xfId="0" applyNumberFormat="1" applyFont="1" applyFill="1" applyBorder="1" applyAlignment="1" applyProtection="1">
      <alignment horizontal="left" vertical="center"/>
      <protection locked="0"/>
    </xf>
    <xf numFmtId="0" fontId="15" fillId="11" borderId="1" xfId="0" applyFont="1" applyFill="1" applyBorder="1" applyAlignment="1" applyProtection="1">
      <alignment horizontal="left" vertical="center"/>
      <protection locked="0"/>
    </xf>
    <xf numFmtId="0" fontId="15" fillId="11" borderId="1" xfId="0" applyFont="1" applyFill="1" applyBorder="1" applyAlignment="1" applyProtection="1">
      <alignment horizontal="left" vertical="center" wrapText="1"/>
      <protection locked="0"/>
    </xf>
    <xf numFmtId="0" fontId="16" fillId="11" borderId="1" xfId="0" applyFont="1" applyFill="1" applyBorder="1" applyAlignment="1" applyProtection="1">
      <alignment horizontal="left" vertical="center"/>
      <protection locked="0"/>
    </xf>
    <xf numFmtId="3" fontId="16" fillId="11" borderId="1" xfId="0" applyNumberFormat="1" applyFont="1" applyFill="1" applyBorder="1" applyAlignment="1" applyProtection="1">
      <alignment horizontal="left" vertical="center"/>
      <protection locked="0"/>
    </xf>
    <xf numFmtId="3" fontId="15" fillId="11" borderId="1" xfId="0" applyNumberFormat="1" applyFont="1" applyFill="1" applyBorder="1" applyAlignment="1" applyProtection="1">
      <alignment horizontal="left" vertical="center"/>
      <protection locked="0"/>
    </xf>
    <xf numFmtId="14" fontId="15" fillId="11" borderId="1" xfId="0" applyNumberFormat="1" applyFont="1" applyFill="1" applyBorder="1" applyAlignment="1" applyProtection="1">
      <alignment horizontal="left" vertical="center"/>
      <protection locked="0"/>
    </xf>
    <xf numFmtId="14" fontId="15" fillId="10" borderId="1" xfId="0" applyNumberFormat="1" applyFont="1" applyFill="1" applyBorder="1" applyAlignment="1" applyProtection="1">
      <alignment horizontal="left" vertical="center"/>
      <protection locked="0"/>
    </xf>
    <xf numFmtId="0" fontId="15" fillId="10" borderId="1" xfId="0" applyFont="1" applyFill="1" applyBorder="1" applyAlignment="1" applyProtection="1">
      <alignment horizontal="left" vertical="center"/>
      <protection locked="0"/>
    </xf>
    <xf numFmtId="0" fontId="17" fillId="10" borderId="1" xfId="0" applyFont="1" applyFill="1" applyBorder="1" applyAlignment="1">
      <alignment horizontal="left" vertical="center"/>
    </xf>
    <xf numFmtId="3" fontId="15" fillId="10" borderId="1" xfId="0" applyNumberFormat="1" applyFont="1" applyFill="1" applyBorder="1" applyAlignment="1" applyProtection="1">
      <alignment horizontal="left" vertical="center"/>
      <protection locked="0"/>
    </xf>
    <xf numFmtId="3" fontId="17" fillId="10" borderId="1" xfId="0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3" fontId="17" fillId="11" borderId="1" xfId="0" applyNumberFormat="1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3" fontId="17" fillId="7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3" fontId="15" fillId="7" borderId="1" xfId="0" applyNumberFormat="1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3" fontId="15" fillId="11" borderId="1" xfId="0" applyNumberFormat="1" applyFont="1" applyFill="1" applyBorder="1" applyAlignment="1">
      <alignment horizontal="left" vertical="center"/>
    </xf>
    <xf numFmtId="14" fontId="17" fillId="3" borderId="1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 applyProtection="1">
      <alignment horizontal="left" vertical="center"/>
      <protection locked="0"/>
    </xf>
    <xf numFmtId="3" fontId="18" fillId="10" borderId="1" xfId="0" applyNumberFormat="1" applyFont="1" applyFill="1" applyBorder="1" applyAlignment="1" applyProtection="1">
      <alignment horizontal="left" vertical="center"/>
      <protection locked="0"/>
    </xf>
    <xf numFmtId="14" fontId="18" fillId="10" borderId="1" xfId="0" applyNumberFormat="1" applyFont="1" applyFill="1" applyBorder="1" applyAlignment="1" applyProtection="1">
      <alignment horizontal="left" vertical="center"/>
      <protection locked="0"/>
    </xf>
    <xf numFmtId="0" fontId="18" fillId="10" borderId="1" xfId="0" applyFont="1" applyFill="1" applyBorder="1" applyAlignment="1">
      <alignment horizontal="left" vertical="center"/>
    </xf>
    <xf numFmtId="0" fontId="19" fillId="0" borderId="0" xfId="0" applyFont="1"/>
    <xf numFmtId="0" fontId="20" fillId="10" borderId="1" xfId="0" applyFont="1" applyFill="1" applyBorder="1" applyProtection="1">
      <protection locked="0"/>
    </xf>
    <xf numFmtId="0" fontId="7" fillId="12" borderId="1" xfId="0" applyFont="1" applyFill="1" applyBorder="1"/>
    <xf numFmtId="0" fontId="15" fillId="7" borderId="2" xfId="0" applyFont="1" applyFill="1" applyBorder="1"/>
    <xf numFmtId="14" fontId="15" fillId="7" borderId="2" xfId="0" applyNumberFormat="1" applyFont="1" applyFill="1" applyBorder="1"/>
    <xf numFmtId="0" fontId="5" fillId="0" borderId="0" xfId="0" applyFont="1" applyBorder="1"/>
    <xf numFmtId="14" fontId="15" fillId="7" borderId="1" xfId="0" applyNumberFormat="1" applyFont="1" applyFill="1" applyBorder="1" applyAlignment="1">
      <alignment horizontal="left" vertical="center"/>
    </xf>
    <xf numFmtId="14" fontId="15" fillId="11" borderId="1" xfId="0" applyNumberFormat="1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21" fillId="8" borderId="0" xfId="0" applyFont="1" applyFill="1" applyBorder="1" applyAlignment="1">
      <alignment horizontal="left" vertical="center" wrapText="1" indent="1"/>
    </xf>
    <xf numFmtId="0" fontId="21" fillId="6" borderId="0" xfId="0" applyFont="1" applyFill="1" applyBorder="1" applyAlignment="1">
      <alignment horizontal="left" vertical="center" wrapText="1" indent="1"/>
    </xf>
    <xf numFmtId="0" fontId="21" fillId="9" borderId="0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14" fontId="15" fillId="15" borderId="1" xfId="0" applyNumberFormat="1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 indent="1"/>
    </xf>
    <xf numFmtId="14" fontId="15" fillId="7" borderId="1" xfId="0" applyNumberFormat="1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3" fontId="15" fillId="7" borderId="1" xfId="0" applyNumberFormat="1" applyFont="1" applyFill="1" applyBorder="1" applyAlignment="1">
      <alignment horizontal="left" vertical="center" wrapText="1"/>
    </xf>
    <xf numFmtId="14" fontId="15" fillId="11" borderId="1" xfId="0" applyNumberFormat="1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3" fontId="15" fillId="11" borderId="1" xfId="0" applyNumberFormat="1" applyFont="1" applyFill="1" applyBorder="1" applyAlignment="1">
      <alignment horizontal="left" vertical="center" wrapText="1"/>
    </xf>
    <xf numFmtId="14" fontId="15" fillId="14" borderId="1" xfId="0" applyNumberFormat="1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3" fontId="15" fillId="14" borderId="1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/>
    <xf numFmtId="0" fontId="15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7B7B7"/>
      <rgbColor rgb="FF808080"/>
      <rgbColor rgb="FF93A9CE"/>
      <rgbColor rgb="FFAB4744"/>
      <rgbColor rgb="FFFFF2CC"/>
      <rgbColor rgb="FFEBF1FA"/>
      <rgbColor rgb="FF660066"/>
      <rgbColor rgb="FFDC853E"/>
      <rgbColor rgb="FF4672A8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B8CD97"/>
      <rgbColor rgb="FFD09493"/>
      <rgbColor rgb="FFFCE4E4"/>
      <rgbColor rgb="FFFBDCDC"/>
      <rgbColor rgb="FF2E75B6"/>
      <rgbColor rgb="FF8AA64F"/>
      <rgbColor rgb="FF9BBB59"/>
      <rgbColor rgb="FFFFCC00"/>
      <rgbColor rgb="FFFF9900"/>
      <rgbColor rgb="FFED7D31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8064A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64"/>
  <sheetViews>
    <sheetView topLeftCell="A8" workbookViewId="0"/>
  </sheetViews>
  <sheetFormatPr baseColWidth="10" defaultRowHeight="15" x14ac:dyDescent="0.25"/>
  <sheetData>
    <row r="1" spans="1:12" ht="30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42.75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ht="30.75" x14ac:dyDescent="0.25">
      <c r="A5" s="7">
        <f>COUNTA(#REF!)</f>
        <v>1</v>
      </c>
      <c r="B5" s="7"/>
      <c r="C5" s="7"/>
      <c r="D5" s="7" t="e">
        <f>SUM(#REF!)</f>
        <v>#REF!</v>
      </c>
      <c r="E5" s="7"/>
      <c r="F5" s="7"/>
      <c r="G5" s="7" t="e">
        <f>COUNTIF(#REF!,"DISPONIBLE")</f>
        <v>#REF!</v>
      </c>
      <c r="H5" s="7"/>
      <c r="I5" s="7"/>
      <c r="J5" s="7" t="e">
        <f>COUNTIF(#REF!,"CRITIQUE")</f>
        <v>#REF!</v>
      </c>
      <c r="K5" s="7"/>
      <c r="L5" s="7"/>
    </row>
    <row r="6" spans="1:12" ht="30.7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8" spans="1:12" ht="57" x14ac:dyDescent="0.25">
      <c r="A8" s="8" t="s">
        <v>6</v>
      </c>
      <c r="B8" s="8"/>
      <c r="C8" s="8"/>
      <c r="D8" s="3" t="s">
        <v>7</v>
      </c>
      <c r="E8" s="3"/>
      <c r="F8" s="3"/>
      <c r="G8" s="5" t="s">
        <v>8</v>
      </c>
      <c r="H8" s="5"/>
      <c r="I8" s="5"/>
      <c r="J8" s="6" t="s">
        <v>9</v>
      </c>
      <c r="K8" s="6"/>
      <c r="L8" s="6"/>
    </row>
    <row r="9" spans="1:12" ht="30.75" x14ac:dyDescent="0.25">
      <c r="A9" s="7" t="e">
        <f>COUNTIF(#REF!,"RUPTURE")</f>
        <v>#REF!</v>
      </c>
      <c r="B9" s="7"/>
      <c r="C9" s="7"/>
      <c r="D9" s="7" t="e">
        <f>COUNTIF(#REF!,"&gt;0")</f>
        <v>#REF!</v>
      </c>
      <c r="E9" s="7"/>
      <c r="F9" s="7"/>
      <c r="G9" s="7">
        <f ca="1">IFERROR(SUMIFS(#REF!,#REF!,"&gt;="&amp;DATE(YEAR(TODAY()),MONTH(TODAY()),1)),0)</f>
        <v>0</v>
      </c>
      <c r="H9" s="7"/>
      <c r="I9" s="7"/>
      <c r="J9" s="7">
        <f ca="1">IFERROR(SUMIFS(#REF!,#REF!,"&gt;="&amp;DATE(YEAR(TODAY()),MONTH(TODAY()),1)),0)</f>
        <v>0</v>
      </c>
      <c r="K9" s="7"/>
      <c r="L9" s="7"/>
    </row>
    <row r="10" spans="1:12" ht="30.7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2" spans="1:12" ht="57" x14ac:dyDescent="0.25">
      <c r="A12" s="3" t="s">
        <v>10</v>
      </c>
      <c r="B12" s="3"/>
      <c r="C12" s="3"/>
      <c r="D12" s="5" t="s">
        <v>11</v>
      </c>
      <c r="E12" s="5"/>
      <c r="F12" s="5"/>
      <c r="G12" s="8" t="s">
        <v>12</v>
      </c>
      <c r="H12" s="8"/>
      <c r="I12" s="8"/>
      <c r="J12" s="4" t="s">
        <v>13</v>
      </c>
      <c r="K12" s="4"/>
      <c r="L12" s="4"/>
    </row>
    <row r="13" spans="1:12" ht="30.75" x14ac:dyDescent="0.25">
      <c r="A13" s="7" t="e">
        <f>COUNTIF(#REF!,"Affecte")</f>
        <v>#REF!</v>
      </c>
      <c r="B13" s="7"/>
      <c r="C13" s="7"/>
      <c r="D13" s="7" t="e">
        <f>COUNTIF(#REF!,"Disponible")</f>
        <v>#REF!</v>
      </c>
      <c r="E13" s="7"/>
      <c r="F13" s="7"/>
      <c r="G13" s="7" t="e">
        <f>COUNTIFS(#REF!,"&lt;&gt;Disponible",#REF!,"&lt;&gt;Affecte")</f>
        <v>#REF!</v>
      </c>
      <c r="H13" s="7"/>
      <c r="I13" s="7"/>
      <c r="J13" s="9">
        <f>IFERROR(COUNTIF(#REF!,"Disponible")/COUNTA(#REF!),0)</f>
        <v>0</v>
      </c>
      <c r="K13" s="9"/>
      <c r="L13" s="9"/>
    </row>
    <row r="14" spans="1:12" ht="30.75" x14ac:dyDescent="0.25">
      <c r="A14" s="7"/>
      <c r="B14" s="7"/>
      <c r="C14" s="7"/>
      <c r="D14" s="7"/>
      <c r="E14" s="7"/>
      <c r="F14" s="7"/>
      <c r="G14" s="7"/>
      <c r="H14" s="7"/>
      <c r="I14" s="7"/>
      <c r="J14" s="9"/>
      <c r="K14" s="9"/>
      <c r="L14" s="9"/>
    </row>
    <row r="16" spans="1:12" ht="57" x14ac:dyDescent="0.25">
      <c r="A16" s="3" t="s">
        <v>14</v>
      </c>
      <c r="B16" s="3"/>
      <c r="C16" s="3"/>
      <c r="D16" s="10" t="s">
        <v>15</v>
      </c>
      <c r="E16" s="10"/>
      <c r="F16" s="10"/>
      <c r="G16" s="10"/>
      <c r="H16" s="10"/>
      <c r="I16" s="10" t="s">
        <v>16</v>
      </c>
      <c r="J16" s="10"/>
      <c r="K16" s="10"/>
      <c r="L16" s="10"/>
    </row>
    <row r="17" spans="1:12" ht="30.75" x14ac:dyDescent="0.25">
      <c r="A17" s="11">
        <f>IFERROR(SUM(#REF!)/AVERAGE(#REF!),0)</f>
        <v>0</v>
      </c>
      <c r="B17" s="11"/>
      <c r="C17" s="11"/>
      <c r="D17" s="12" t="str">
        <f>"N/A - module Inventaire a activer"</f>
        <v>N/A - module Inventaire a activer</v>
      </c>
      <c r="E17" s="12"/>
      <c r="F17" s="12"/>
      <c r="G17" s="12"/>
      <c r="H17" s="12"/>
      <c r="I17" s="12" t="str">
        <f>"N/A - module Audit a activer"</f>
        <v>N/A - module Audit a activer</v>
      </c>
      <c r="J17" s="12"/>
      <c r="K17" s="12"/>
      <c r="L17" s="12"/>
    </row>
    <row r="18" spans="1:12" ht="30.75" x14ac:dyDescent="0.25">
      <c r="A18" s="11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</row>
    <row r="40" spans="1:12" ht="17.25" x14ac:dyDescent="0.3">
      <c r="A40" s="13" t="s">
        <v>17</v>
      </c>
    </row>
    <row r="41" spans="1:12" x14ac:dyDescent="0.25">
      <c r="A41" s="14" t="s">
        <v>18</v>
      </c>
      <c r="B41" s="14"/>
      <c r="C41" s="14"/>
      <c r="D41" s="14" t="s">
        <v>19</v>
      </c>
      <c r="E41" s="14"/>
      <c r="F41" s="14"/>
      <c r="G41" s="14" t="s">
        <v>20</v>
      </c>
      <c r="H41" s="14"/>
      <c r="I41" s="14"/>
      <c r="J41" s="14" t="s">
        <v>21</v>
      </c>
      <c r="K41" s="14"/>
      <c r="L41" s="14"/>
    </row>
    <row r="43" spans="1:12" x14ac:dyDescent="0.25">
      <c r="A43" s="14" t="s">
        <v>22</v>
      </c>
      <c r="B43" s="14"/>
      <c r="C43" s="14"/>
      <c r="D43" s="14" t="s">
        <v>23</v>
      </c>
      <c r="E43" s="14"/>
      <c r="F43" s="14"/>
      <c r="G43" s="14" t="s">
        <v>24</v>
      </c>
      <c r="H43" s="14"/>
      <c r="I43" s="14"/>
      <c r="J43" s="14" t="s">
        <v>25</v>
      </c>
      <c r="K43" s="14"/>
      <c r="L43" s="14"/>
    </row>
    <row r="46" spans="1:12" ht="17.25" x14ac:dyDescent="0.3">
      <c r="A46" s="13" t="s">
        <v>26</v>
      </c>
    </row>
    <row r="47" spans="1:12" x14ac:dyDescent="0.25">
      <c r="A47" s="15" t="s">
        <v>27</v>
      </c>
      <c r="B47" s="15"/>
      <c r="C47" s="15"/>
      <c r="D47" s="15" t="s">
        <v>28</v>
      </c>
      <c r="E47" s="15"/>
      <c r="F47" s="15"/>
      <c r="G47" s="15" t="s">
        <v>29</v>
      </c>
      <c r="H47" s="15"/>
      <c r="I47" s="15"/>
      <c r="J47" s="15" t="s">
        <v>30</v>
      </c>
      <c r="K47" s="15"/>
      <c r="L47" s="15"/>
    </row>
    <row r="49" spans="1:5" x14ac:dyDescent="0.25">
      <c r="A49" s="15" t="s">
        <v>31</v>
      </c>
      <c r="B49" s="15"/>
      <c r="C49" s="15"/>
    </row>
    <row r="60" spans="1:5" x14ac:dyDescent="0.25">
      <c r="A60" s="16" t="s">
        <v>32</v>
      </c>
      <c r="B60" s="16" t="s">
        <v>33</v>
      </c>
      <c r="D60" s="16" t="s">
        <v>34</v>
      </c>
      <c r="E60" s="16" t="s">
        <v>35</v>
      </c>
    </row>
    <row r="61" spans="1:5" x14ac:dyDescent="0.25">
      <c r="A61" t="s">
        <v>36</v>
      </c>
      <c r="B61" t="e">
        <f>COUNTIF(#REF!,"FO")</f>
        <v>#REF!</v>
      </c>
      <c r="D61" t="s">
        <v>37</v>
      </c>
      <c r="E61" t="e">
        <f>COUNTIF(#REF!,"DISPONIBLE")</f>
        <v>#REF!</v>
      </c>
    </row>
    <row r="62" spans="1:5" x14ac:dyDescent="0.25">
      <c r="A62" t="s">
        <v>38</v>
      </c>
      <c r="B62" t="e">
        <f>COUNTIF(#REF!,"GSM")</f>
        <v>#REF!</v>
      </c>
      <c r="D62" t="s">
        <v>39</v>
      </c>
      <c r="E62" t="e">
        <f>COUNTIF(#REF!,"CRITIQUE")</f>
        <v>#REF!</v>
      </c>
    </row>
    <row r="63" spans="1:5" x14ac:dyDescent="0.25">
      <c r="A63" t="s">
        <v>40</v>
      </c>
      <c r="B63" t="e">
        <f>COUNTIF(#REF!,"BLR")</f>
        <v>#REF!</v>
      </c>
      <c r="D63" t="s">
        <v>41</v>
      </c>
      <c r="E63" t="e">
        <f>COUNTIF(#REF!,"RUPTURE")</f>
        <v>#REF!</v>
      </c>
    </row>
    <row r="64" spans="1:5" x14ac:dyDescent="0.25">
      <c r="A64" t="s">
        <v>42</v>
      </c>
      <c r="B64" t="e">
        <f>COUNTIF(#REF!,"BLR (a classer)")</f>
        <v>#REF!</v>
      </c>
      <c r="D64" t="s">
        <v>43</v>
      </c>
      <c r="E64" t="e">
        <f>COUNTIF(#REF!,"SURSTOCK")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122"/>
  <sheetViews>
    <sheetView workbookViewId="0"/>
  </sheetViews>
  <sheetFormatPr baseColWidth="10" defaultRowHeight="15" x14ac:dyDescent="0.25"/>
  <sheetData>
    <row r="1" spans="1:12" ht="26.25" x14ac:dyDescent="0.25">
      <c r="A1" s="17" t="s">
        <v>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6.5" x14ac:dyDescent="0.3">
      <c r="A3" s="18" t="s">
        <v>45</v>
      </c>
      <c r="B3" s="19" t="s">
        <v>46</v>
      </c>
      <c r="C3" s="19"/>
      <c r="D3" s="19"/>
    </row>
    <row r="6" spans="1:12" ht="71.25" x14ac:dyDescent="0.25">
      <c r="A6" s="3" t="s">
        <v>47</v>
      </c>
      <c r="B6" s="3"/>
      <c r="C6" s="3"/>
      <c r="D6" s="6" t="s">
        <v>48</v>
      </c>
      <c r="E6" s="6"/>
      <c r="F6" s="6"/>
      <c r="G6" s="8" t="s">
        <v>49</v>
      </c>
      <c r="H6" s="8"/>
      <c r="I6" s="8"/>
      <c r="J6" s="8" t="s">
        <v>50</v>
      </c>
      <c r="K6" s="8"/>
      <c r="L6" s="8"/>
    </row>
    <row r="7" spans="1:12" ht="26.25" x14ac:dyDescent="0.25">
      <c r="A7" s="20" t="e">
        <f>IF($B$3="(Tous)",COUNTIFS(#REF!,"",#REF!,"&lt;&gt;"),COUNTIFS(#REF!,$B$3,#REF!,""))</f>
        <v>#REF!</v>
      </c>
      <c r="B7" s="20"/>
      <c r="C7" s="20"/>
      <c r="D7" s="20" t="e">
        <f>IF($B$3="(Tous)",COUNTIF(#REF!,"En maintenance")+COUNTIF(#REF!,"En reparation"),COUNTIFS(#REF!,$B$3,#REF!,"En maintenance"))</f>
        <v>#REF!</v>
      </c>
      <c r="E7" s="20"/>
      <c r="F7" s="20"/>
      <c r="G7" s="20" t="e">
        <f>IF($B$3="(Tous)",COUNTIF(#REF!,"OUI"),COUNTIFS(#REF!,$B$3,#REF!,"OUI"))</f>
        <v>#REF!</v>
      </c>
      <c r="H7" s="20"/>
      <c r="I7" s="20"/>
      <c r="J7" s="20" t="e">
        <f>IF($B$3="(Tous)",COUNTIF(#REF!,"Perdu")+COUNTIF(#REF!,"Vole"),COUNTIFS(#REF!,$B$3,#REF!,"Perdu")+COUNTIFS(#REF!,$B$3,#REF!,"Vole"))</f>
        <v>#REF!</v>
      </c>
      <c r="K7" s="20"/>
      <c r="L7" s="20"/>
    </row>
    <row r="8" spans="1:12" ht="26.25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10" spans="1:12" ht="71.25" x14ac:dyDescent="0.25">
      <c r="A10" s="10" t="s">
        <v>51</v>
      </c>
      <c r="B10" s="10"/>
      <c r="C10" s="10"/>
      <c r="D10" s="3" t="s">
        <v>52</v>
      </c>
      <c r="E10" s="3"/>
      <c r="F10" s="3"/>
      <c r="G10" s="4" t="s">
        <v>53</v>
      </c>
      <c r="H10" s="4"/>
      <c r="I10" s="4"/>
      <c r="J10" s="5" t="s">
        <v>54</v>
      </c>
      <c r="K10" s="5"/>
      <c r="L10" s="5"/>
    </row>
    <row r="11" spans="1:12" ht="26.25" x14ac:dyDescent="0.25">
      <c r="A11" s="20" t="e">
        <f>IF($B$3="(Tous)",COUNTIF(#REF!,"Reforme"),COUNTIFS(#REF!,$B$3,#REF!,"Reforme"))</f>
        <v>#REF!</v>
      </c>
      <c r="B11" s="20"/>
      <c r="C11" s="20"/>
      <c r="D11" s="20">
        <f ca="1">IFERROR(SUMPRODUCT((#REF!&gt;=DATE(YEAR(TODAY()),MONTH(TODAY()),1))*(#REF!&lt;&gt;"")*IF($B$3="(Tous)",1,#REF!=$B$3)),0)</f>
        <v>0</v>
      </c>
      <c r="E11" s="20"/>
      <c r="F11" s="20"/>
      <c r="G11" s="20">
        <f>IFERROR(IF($B$3="(Tous)",AVERAGE(#REF!),AVERAGEIFS(#REF!,#REF!,$B$3)),0)</f>
        <v>0</v>
      </c>
      <c r="H11" s="20"/>
      <c r="I11" s="20"/>
      <c r="J11" s="21">
        <f>IFERROR(COUNTIF(#REF!,"Disponible*")/COUNTA(#REF!),0)</f>
        <v>0</v>
      </c>
      <c r="K11" s="21"/>
      <c r="L11" s="21"/>
    </row>
    <row r="12" spans="1:12" ht="26.2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1"/>
      <c r="K12" s="21"/>
      <c r="L12" s="21"/>
    </row>
    <row r="59" spans="1:1" x14ac:dyDescent="0.25">
      <c r="A59" t="s">
        <v>46</v>
      </c>
    </row>
    <row r="60" spans="1:1" x14ac:dyDescent="0.25">
      <c r="A60" t="str">
        <f>IFERROR(INDEX(#REF!,1),"")</f>
        <v/>
      </c>
    </row>
    <row r="61" spans="1:1" x14ac:dyDescent="0.25">
      <c r="A61" t="str">
        <f>IFERROR(INDEX(#REF!,2),"")</f>
        <v/>
      </c>
    </row>
    <row r="62" spans="1:1" x14ac:dyDescent="0.25">
      <c r="A62" t="str">
        <f>IFERROR(INDEX(#REF!,3),"")</f>
        <v/>
      </c>
    </row>
    <row r="63" spans="1:1" x14ac:dyDescent="0.25">
      <c r="A63" t="str">
        <f>IFERROR(INDEX(#REF!,4),"")</f>
        <v/>
      </c>
    </row>
    <row r="64" spans="1:1" x14ac:dyDescent="0.25">
      <c r="A64" t="str">
        <f>IFERROR(INDEX(#REF!,5),"")</f>
        <v/>
      </c>
    </row>
    <row r="65" spans="1:1" x14ac:dyDescent="0.25">
      <c r="A65" t="str">
        <f>IFERROR(INDEX(#REF!,6),"")</f>
        <v/>
      </c>
    </row>
    <row r="66" spans="1:1" x14ac:dyDescent="0.25">
      <c r="A66" t="str">
        <f>IFERROR(INDEX(#REF!,7),"")</f>
        <v/>
      </c>
    </row>
    <row r="67" spans="1:1" x14ac:dyDescent="0.25">
      <c r="A67" t="str">
        <f>IFERROR(INDEX(#REF!,8),"")</f>
        <v/>
      </c>
    </row>
    <row r="68" spans="1:1" x14ac:dyDescent="0.25">
      <c r="A68" t="str">
        <f>IFERROR(INDEX(#REF!,9),"")</f>
        <v/>
      </c>
    </row>
    <row r="69" spans="1:1" x14ac:dyDescent="0.25">
      <c r="A69" t="str">
        <f>IFERROR(INDEX(#REF!,10),"")</f>
        <v/>
      </c>
    </row>
    <row r="70" spans="1:1" x14ac:dyDescent="0.25">
      <c r="A70" t="str">
        <f>IFERROR(INDEX(#REF!,11),"")</f>
        <v/>
      </c>
    </row>
    <row r="71" spans="1:1" x14ac:dyDescent="0.25">
      <c r="A71" t="str">
        <f>IFERROR(INDEX(#REF!,12),"")</f>
        <v/>
      </c>
    </row>
    <row r="72" spans="1:1" x14ac:dyDescent="0.25">
      <c r="A72" t="str">
        <f>IFERROR(INDEX(#REF!,13),"")</f>
        <v/>
      </c>
    </row>
    <row r="73" spans="1:1" x14ac:dyDescent="0.25">
      <c r="A73" t="str">
        <f>IFERROR(INDEX(#REF!,14),"")</f>
        <v/>
      </c>
    </row>
    <row r="74" spans="1:1" x14ac:dyDescent="0.25">
      <c r="A74" t="str">
        <f>IFERROR(INDEX(#REF!,15),"")</f>
        <v/>
      </c>
    </row>
    <row r="75" spans="1:1" x14ac:dyDescent="0.25">
      <c r="A75" t="str">
        <f>IFERROR(INDEX(#REF!,16),"")</f>
        <v/>
      </c>
    </row>
    <row r="76" spans="1:1" x14ac:dyDescent="0.25">
      <c r="A76" t="str">
        <f>IFERROR(INDEX(#REF!,17),"")</f>
        <v/>
      </c>
    </row>
    <row r="77" spans="1:1" x14ac:dyDescent="0.25">
      <c r="A77" t="str">
        <f>IFERROR(INDEX(#REF!,18),"")</f>
        <v/>
      </c>
    </row>
    <row r="78" spans="1:1" x14ac:dyDescent="0.25">
      <c r="A78" t="str">
        <f>IFERROR(INDEX(#REF!,19),"")</f>
        <v/>
      </c>
    </row>
    <row r="79" spans="1:1" x14ac:dyDescent="0.25">
      <c r="A79" t="str">
        <f>IFERROR(INDEX(#REF!,20),"")</f>
        <v/>
      </c>
    </row>
    <row r="80" spans="1:1" x14ac:dyDescent="0.25">
      <c r="A80" t="str">
        <f>IFERROR(INDEX(#REF!,21),"")</f>
        <v/>
      </c>
    </row>
    <row r="81" spans="1:5" x14ac:dyDescent="0.25">
      <c r="A81" t="str">
        <f>IFERROR(INDEX(#REF!,22),"")</f>
        <v/>
      </c>
    </row>
    <row r="82" spans="1:5" x14ac:dyDescent="0.25">
      <c r="A82" t="str">
        <f>IFERROR(INDEX(#REF!,23),"")</f>
        <v/>
      </c>
    </row>
    <row r="83" spans="1:5" x14ac:dyDescent="0.25">
      <c r="A83" t="str">
        <f>IFERROR(INDEX(#REF!,24),"")</f>
        <v/>
      </c>
    </row>
    <row r="84" spans="1:5" x14ac:dyDescent="0.25">
      <c r="A84" t="str">
        <f>IFERROR(INDEX(#REF!,25),"")</f>
        <v/>
      </c>
    </row>
    <row r="85" spans="1:5" x14ac:dyDescent="0.25">
      <c r="A85" t="str">
        <f>IFERROR(INDEX(#REF!,26),"")</f>
        <v/>
      </c>
    </row>
    <row r="86" spans="1:5" x14ac:dyDescent="0.25">
      <c r="A86" t="str">
        <f>IFERROR(INDEX(#REF!,27),"")</f>
        <v/>
      </c>
    </row>
    <row r="87" spans="1:5" x14ac:dyDescent="0.25">
      <c r="A87" t="str">
        <f>IFERROR(INDEX(#REF!,28),"")</f>
        <v/>
      </c>
    </row>
    <row r="88" spans="1:5" x14ac:dyDescent="0.25">
      <c r="A88" t="str">
        <f>IFERROR(INDEX(#REF!,29),"")</f>
        <v/>
      </c>
    </row>
    <row r="89" spans="1:5" x14ac:dyDescent="0.25">
      <c r="A89" t="str">
        <f>IFERROR(INDEX(#REF!,30),"")</f>
        <v/>
      </c>
    </row>
    <row r="92" spans="1:5" x14ac:dyDescent="0.25">
      <c r="A92" s="16" t="s">
        <v>55</v>
      </c>
      <c r="B92" s="16" t="s">
        <v>56</v>
      </c>
      <c r="D92" s="16" t="s">
        <v>34</v>
      </c>
      <c r="E92" s="16" t="s">
        <v>35</v>
      </c>
    </row>
    <row r="93" spans="1:5" x14ac:dyDescent="0.25">
      <c r="A93" t="str">
        <f>IFERROR(INDEX(#REF!,1),"")</f>
        <v/>
      </c>
      <c r="B93" t="str">
        <f>IF(A93="","",COUNTIFS(#REF!,A93,#REF!,""))</f>
        <v/>
      </c>
      <c r="D93" t="s">
        <v>57</v>
      </c>
      <c r="E93" t="e">
        <f>COUNTIF(#REF!,"Affecte")</f>
        <v>#REF!</v>
      </c>
    </row>
    <row r="94" spans="1:5" x14ac:dyDescent="0.25">
      <c r="A94" t="str">
        <f>IFERROR(INDEX(#REF!,2),"")</f>
        <v/>
      </c>
      <c r="B94" t="str">
        <f>IF(A94="","",COUNTIFS(#REF!,A94,#REF!,""))</f>
        <v/>
      </c>
      <c r="D94" t="s">
        <v>58</v>
      </c>
      <c r="E94" t="e">
        <f>COUNTIF(#REF!,"Disponible")</f>
        <v>#REF!</v>
      </c>
    </row>
    <row r="95" spans="1:5" x14ac:dyDescent="0.25">
      <c r="A95" t="str">
        <f>IFERROR(INDEX(#REF!,3),"")</f>
        <v/>
      </c>
      <c r="B95" t="str">
        <f>IF(A95="","",COUNTIFS(#REF!,A95,#REF!,""))</f>
        <v/>
      </c>
      <c r="D95" t="s">
        <v>59</v>
      </c>
      <c r="E95" t="e">
        <f>COUNTIF(#REF!,"En retard")</f>
        <v>#REF!</v>
      </c>
    </row>
    <row r="96" spans="1:5" x14ac:dyDescent="0.25">
      <c r="A96" t="str">
        <f>IFERROR(INDEX(#REF!,4),"")</f>
        <v/>
      </c>
      <c r="B96" t="str">
        <f>IF(A96="","",COUNTIFS(#REF!,A96,#REF!,""))</f>
        <v/>
      </c>
      <c r="D96" t="s">
        <v>60</v>
      </c>
      <c r="E96" t="e">
        <f>COUNTIF(#REF!,"En maintenance")</f>
        <v>#REF!</v>
      </c>
    </row>
    <row r="97" spans="1:5" x14ac:dyDescent="0.25">
      <c r="A97" t="str">
        <f>IFERROR(INDEX(#REF!,5),"")</f>
        <v/>
      </c>
      <c r="B97" t="str">
        <f>IF(A97="","",COUNTIFS(#REF!,A97,#REF!,""))</f>
        <v/>
      </c>
      <c r="D97" t="s">
        <v>61</v>
      </c>
      <c r="E97" t="e">
        <f>COUNTIF(#REF!,"En reparation")</f>
        <v>#REF!</v>
      </c>
    </row>
    <row r="98" spans="1:5" x14ac:dyDescent="0.25">
      <c r="A98" t="str">
        <f>IFERROR(INDEX(#REF!,6),"")</f>
        <v/>
      </c>
      <c r="B98" t="str">
        <f>IF(A98="","",COUNTIFS(#REF!,A98,#REF!,""))</f>
        <v/>
      </c>
      <c r="D98" t="s">
        <v>62</v>
      </c>
      <c r="E98" t="e">
        <f>COUNTIF(#REF!,"En transfert")</f>
        <v>#REF!</v>
      </c>
    </row>
    <row r="99" spans="1:5" x14ac:dyDescent="0.25">
      <c r="A99" t="str">
        <f>IFERROR(INDEX(#REF!,7),"")</f>
        <v/>
      </c>
      <c r="B99" t="str">
        <f>IF(A99="","",COUNTIFS(#REF!,A99,#REF!,""))</f>
        <v/>
      </c>
      <c r="D99" t="s">
        <v>63</v>
      </c>
      <c r="E99" t="e">
        <f>COUNTIF(#REF!,"Perdu")</f>
        <v>#REF!</v>
      </c>
    </row>
    <row r="100" spans="1:5" x14ac:dyDescent="0.25">
      <c r="A100" t="str">
        <f>IFERROR(INDEX(#REF!,8),"")</f>
        <v/>
      </c>
      <c r="B100" t="str">
        <f>IF(A100="","",COUNTIFS(#REF!,A100,#REF!,""))</f>
        <v/>
      </c>
      <c r="D100" t="s">
        <v>64</v>
      </c>
      <c r="E100" t="e">
        <f>COUNTIF(#REF!,"Vole")</f>
        <v>#REF!</v>
      </c>
    </row>
    <row r="101" spans="1:5" x14ac:dyDescent="0.25">
      <c r="A101" t="str">
        <f>IFERROR(INDEX(#REF!,9),"")</f>
        <v/>
      </c>
      <c r="B101" t="str">
        <f>IF(A101="","",COUNTIFS(#REF!,A101,#REF!,""))</f>
        <v/>
      </c>
      <c r="D101" t="s">
        <v>65</v>
      </c>
      <c r="E101" t="e">
        <f>COUNTIF(#REF!,"Reforme")</f>
        <v>#REF!</v>
      </c>
    </row>
    <row r="102" spans="1:5" x14ac:dyDescent="0.25">
      <c r="A102" t="str">
        <f>IFERROR(INDEX(#REF!,10),"")</f>
        <v/>
      </c>
      <c r="B102" t="str">
        <f>IF(A102="","",COUNTIFS(#REF!,A102,#REF!,""))</f>
        <v/>
      </c>
    </row>
    <row r="103" spans="1:5" x14ac:dyDescent="0.25">
      <c r="A103" t="str">
        <f>IFERROR(INDEX(#REF!,11),"")</f>
        <v/>
      </c>
      <c r="B103" t="str">
        <f>IF(A103="","",COUNTIFS(#REF!,A103,#REF!,""))</f>
        <v/>
      </c>
    </row>
    <row r="104" spans="1:5" x14ac:dyDescent="0.25">
      <c r="A104" t="str">
        <f>IFERROR(INDEX(#REF!,12),"")</f>
        <v/>
      </c>
      <c r="B104" t="str">
        <f>IF(A104="","",COUNTIFS(#REF!,A104,#REF!,""))</f>
        <v/>
      </c>
    </row>
    <row r="105" spans="1:5" x14ac:dyDescent="0.25">
      <c r="A105" t="str">
        <f>IFERROR(INDEX(#REF!,13),"")</f>
        <v/>
      </c>
      <c r="B105" t="str">
        <f>IF(A105="","",COUNTIFS(#REF!,A105,#REF!,""))</f>
        <v/>
      </c>
    </row>
    <row r="106" spans="1:5" x14ac:dyDescent="0.25">
      <c r="A106" t="str">
        <f>IFERROR(INDEX(#REF!,14),"")</f>
        <v/>
      </c>
      <c r="B106" t="str">
        <f>IF(A106="","",COUNTIFS(#REF!,A106,#REF!,""))</f>
        <v/>
      </c>
    </row>
    <row r="107" spans="1:5" x14ac:dyDescent="0.25">
      <c r="A107" t="str">
        <f>IFERROR(INDEX(#REF!,15),"")</f>
        <v/>
      </c>
      <c r="B107" t="str">
        <f>IF(A107="","",COUNTIFS(#REF!,A107,#REF!,""))</f>
        <v/>
      </c>
    </row>
    <row r="108" spans="1:5" x14ac:dyDescent="0.25">
      <c r="A108" t="str">
        <f>IFERROR(INDEX(#REF!,16),"")</f>
        <v/>
      </c>
      <c r="B108" t="str">
        <f>IF(A108="","",COUNTIFS(#REF!,A108,#REF!,""))</f>
        <v/>
      </c>
    </row>
    <row r="109" spans="1:5" x14ac:dyDescent="0.25">
      <c r="A109" t="str">
        <f>IFERROR(INDEX(#REF!,17),"")</f>
        <v/>
      </c>
      <c r="B109" t="str">
        <f>IF(A109="","",COUNTIFS(#REF!,A109,#REF!,""))</f>
        <v/>
      </c>
    </row>
    <row r="110" spans="1:5" x14ac:dyDescent="0.25">
      <c r="A110" t="str">
        <f>IFERROR(INDEX(#REF!,18),"")</f>
        <v/>
      </c>
      <c r="B110" t="str">
        <f>IF(A110="","",COUNTIFS(#REF!,A110,#REF!,""))</f>
        <v/>
      </c>
    </row>
    <row r="111" spans="1:5" x14ac:dyDescent="0.25">
      <c r="A111" t="str">
        <f>IFERROR(INDEX(#REF!,19),"")</f>
        <v/>
      </c>
      <c r="B111" t="str">
        <f>IF(A111="","",COUNTIFS(#REF!,A111,#REF!,""))</f>
        <v/>
      </c>
    </row>
    <row r="112" spans="1:5" x14ac:dyDescent="0.25">
      <c r="A112" t="str">
        <f>IFERROR(INDEX(#REF!,20),"")</f>
        <v/>
      </c>
      <c r="B112" t="str">
        <f>IF(A112="","",COUNTIFS(#REF!,A112,#REF!,""))</f>
        <v/>
      </c>
    </row>
    <row r="113" spans="1:2" x14ac:dyDescent="0.25">
      <c r="A113" t="str">
        <f>IFERROR(INDEX(#REF!,21),"")</f>
        <v/>
      </c>
      <c r="B113" t="str">
        <f>IF(A113="","",COUNTIFS(#REF!,A113,#REF!,""))</f>
        <v/>
      </c>
    </row>
    <row r="114" spans="1:2" x14ac:dyDescent="0.25">
      <c r="A114" t="str">
        <f>IFERROR(INDEX(#REF!,22),"")</f>
        <v/>
      </c>
      <c r="B114" t="str">
        <f>IF(A114="","",COUNTIFS(#REF!,A114,#REF!,""))</f>
        <v/>
      </c>
    </row>
    <row r="115" spans="1:2" x14ac:dyDescent="0.25">
      <c r="A115" t="str">
        <f>IFERROR(INDEX(#REF!,23),"")</f>
        <v/>
      </c>
      <c r="B115" t="str">
        <f>IF(A115="","",COUNTIFS(#REF!,A115,#REF!,""))</f>
        <v/>
      </c>
    </row>
    <row r="116" spans="1:2" x14ac:dyDescent="0.25">
      <c r="A116" t="str">
        <f>IFERROR(INDEX(#REF!,24),"")</f>
        <v/>
      </c>
      <c r="B116" t="str">
        <f>IF(A116="","",COUNTIFS(#REF!,A116,#REF!,""))</f>
        <v/>
      </c>
    </row>
    <row r="117" spans="1:2" x14ac:dyDescent="0.25">
      <c r="A117" t="str">
        <f>IFERROR(INDEX(#REF!,25),"")</f>
        <v/>
      </c>
      <c r="B117" t="str">
        <f>IF(A117="","",COUNTIFS(#REF!,A117,#REF!,""))</f>
        <v/>
      </c>
    </row>
    <row r="118" spans="1:2" x14ac:dyDescent="0.25">
      <c r="A118" t="str">
        <f>IFERROR(INDEX(#REF!,26),"")</f>
        <v/>
      </c>
      <c r="B118" t="str">
        <f>IF(A118="","",COUNTIFS(#REF!,A118,#REF!,""))</f>
        <v/>
      </c>
    </row>
    <row r="119" spans="1:2" x14ac:dyDescent="0.25">
      <c r="A119" t="str">
        <f>IFERROR(INDEX(#REF!,27),"")</f>
        <v/>
      </c>
      <c r="B119" t="str">
        <f>IF(A119="","",COUNTIFS(#REF!,A119,#REF!,""))</f>
        <v/>
      </c>
    </row>
    <row r="120" spans="1:2" x14ac:dyDescent="0.25">
      <c r="A120" t="str">
        <f>IFERROR(INDEX(#REF!,28),"")</f>
        <v/>
      </c>
      <c r="B120" t="str">
        <f>IF(A120="","",COUNTIFS(#REF!,A120,#REF!,""))</f>
        <v/>
      </c>
    </row>
    <row r="121" spans="1:2" x14ac:dyDescent="0.25">
      <c r="A121" t="str">
        <f>IFERROR(INDEX(#REF!,29),"")</f>
        <v/>
      </c>
      <c r="B121" t="str">
        <f>IF(A121="","",COUNTIFS(#REF!,A121,#REF!,""))</f>
        <v/>
      </c>
    </row>
    <row r="122" spans="1:2" x14ac:dyDescent="0.25">
      <c r="A122" t="str">
        <f>IFERROR(INDEX(#REF!,30),"")</f>
        <v/>
      </c>
      <c r="B122" t="str">
        <f>IF(A122="","",COUNTIFS(#REF!,A122,#REF!,""))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O218"/>
  <sheetViews>
    <sheetView topLeftCell="A216" workbookViewId="0"/>
  </sheetViews>
  <sheetFormatPr baseColWidth="10" defaultRowHeight="15" x14ac:dyDescent="0.25"/>
  <sheetData>
    <row r="1" spans="1:15" ht="20.25" x14ac:dyDescent="0.25">
      <c r="A1" s="22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48" x14ac:dyDescent="0.25">
      <c r="A2" s="23" t="s">
        <v>67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1:15" ht="49.5" x14ac:dyDescent="0.25">
      <c r="A4" s="24" t="s">
        <v>68</v>
      </c>
      <c r="B4" s="24" t="s">
        <v>32</v>
      </c>
      <c r="C4" s="24" t="s">
        <v>69</v>
      </c>
      <c r="D4" s="24" t="s">
        <v>70</v>
      </c>
      <c r="E4" s="24" t="s">
        <v>71</v>
      </c>
      <c r="F4" s="24" t="s">
        <v>72</v>
      </c>
      <c r="G4" s="24" t="s">
        <v>73</v>
      </c>
      <c r="H4" s="24" t="s">
        <v>74</v>
      </c>
      <c r="I4" s="24" t="s">
        <v>75</v>
      </c>
      <c r="J4" s="24" t="s">
        <v>76</v>
      </c>
      <c r="K4" s="24" t="s">
        <v>77</v>
      </c>
      <c r="L4" s="24" t="s">
        <v>78</v>
      </c>
      <c r="M4" s="24" t="s">
        <v>34</v>
      </c>
      <c r="N4" s="24" t="s">
        <v>79</v>
      </c>
      <c r="O4" s="24" t="s">
        <v>80</v>
      </c>
    </row>
    <row r="5" spans="1:15" ht="57" x14ac:dyDescent="0.25">
      <c r="A5" s="25" t="s">
        <v>81</v>
      </c>
      <c r="B5" s="25" t="s">
        <v>36</v>
      </c>
      <c r="C5" s="26" t="s">
        <v>82</v>
      </c>
      <c r="D5" s="25" t="s">
        <v>83</v>
      </c>
      <c r="E5" s="25"/>
      <c r="F5" s="25" t="s">
        <v>84</v>
      </c>
      <c r="G5" s="27">
        <v>45</v>
      </c>
      <c r="H5" s="27">
        <v>340</v>
      </c>
      <c r="I5" s="27">
        <v>22</v>
      </c>
      <c r="J5" s="28">
        <v>0</v>
      </c>
      <c r="K5" s="29">
        <v>227</v>
      </c>
      <c r="L5" s="28">
        <v>0</v>
      </c>
      <c r="M5" s="25" t="s">
        <v>85</v>
      </c>
      <c r="N5" s="30">
        <v>46217</v>
      </c>
      <c r="O5" s="26"/>
    </row>
    <row r="6" spans="1:15" ht="28.5" x14ac:dyDescent="0.25">
      <c r="A6" s="31" t="s">
        <v>86</v>
      </c>
      <c r="B6" s="31" t="s">
        <v>36</v>
      </c>
      <c r="C6" s="32" t="s">
        <v>87</v>
      </c>
      <c r="D6" s="31" t="s">
        <v>83</v>
      </c>
      <c r="E6" s="31"/>
      <c r="F6" s="31" t="s">
        <v>84</v>
      </c>
      <c r="G6" s="33">
        <v>5</v>
      </c>
      <c r="H6" s="33">
        <v>50</v>
      </c>
      <c r="I6" s="33">
        <v>2</v>
      </c>
      <c r="J6" s="34">
        <v>0</v>
      </c>
      <c r="K6" s="35">
        <v>0</v>
      </c>
      <c r="L6" s="34">
        <v>0</v>
      </c>
      <c r="M6" s="31" t="s">
        <v>85</v>
      </c>
      <c r="N6" s="36">
        <v>46217</v>
      </c>
      <c r="O6" s="32"/>
    </row>
    <row r="7" spans="1:15" ht="42.75" x14ac:dyDescent="0.25">
      <c r="A7" s="25" t="s">
        <v>88</v>
      </c>
      <c r="B7" s="25" t="s">
        <v>36</v>
      </c>
      <c r="C7" s="26" t="s">
        <v>89</v>
      </c>
      <c r="D7" s="25" t="s">
        <v>83</v>
      </c>
      <c r="E7" s="25"/>
      <c r="F7" s="25" t="s">
        <v>84</v>
      </c>
      <c r="G7" s="27">
        <v>5</v>
      </c>
      <c r="H7" s="27">
        <v>50</v>
      </c>
      <c r="I7" s="27">
        <v>2</v>
      </c>
      <c r="J7" s="28">
        <v>0</v>
      </c>
      <c r="K7" s="29">
        <v>0</v>
      </c>
      <c r="L7" s="28">
        <v>0</v>
      </c>
      <c r="M7" s="25" t="s">
        <v>85</v>
      </c>
      <c r="N7" s="30">
        <v>46217</v>
      </c>
      <c r="O7" s="26"/>
    </row>
    <row r="8" spans="1:15" ht="42.75" x14ac:dyDescent="0.25">
      <c r="A8" s="31" t="s">
        <v>90</v>
      </c>
      <c r="B8" s="31" t="s">
        <v>36</v>
      </c>
      <c r="C8" s="32" t="s">
        <v>91</v>
      </c>
      <c r="D8" s="31" t="s">
        <v>83</v>
      </c>
      <c r="E8" s="31"/>
      <c r="F8" s="31" t="s">
        <v>84</v>
      </c>
      <c r="G8" s="33">
        <v>5</v>
      </c>
      <c r="H8" s="33">
        <v>50</v>
      </c>
      <c r="I8" s="33">
        <v>2</v>
      </c>
      <c r="J8" s="34">
        <v>0</v>
      </c>
      <c r="K8" s="35">
        <v>0</v>
      </c>
      <c r="L8" s="34">
        <v>0</v>
      </c>
      <c r="M8" s="31" t="s">
        <v>85</v>
      </c>
      <c r="N8" s="36">
        <v>46217</v>
      </c>
      <c r="O8" s="32"/>
    </row>
    <row r="9" spans="1:15" ht="28.5" x14ac:dyDescent="0.25">
      <c r="A9" s="25" t="s">
        <v>92</v>
      </c>
      <c r="B9" s="25" t="s">
        <v>36</v>
      </c>
      <c r="C9" s="26" t="s">
        <v>93</v>
      </c>
      <c r="D9" s="25" t="s">
        <v>83</v>
      </c>
      <c r="E9" s="25"/>
      <c r="F9" s="25" t="s">
        <v>84</v>
      </c>
      <c r="G9" s="27">
        <v>295</v>
      </c>
      <c r="H9" s="27">
        <v>2212</v>
      </c>
      <c r="I9" s="27">
        <v>148</v>
      </c>
      <c r="J9" s="28">
        <v>0</v>
      </c>
      <c r="K9" s="29">
        <v>1475</v>
      </c>
      <c r="L9" s="28">
        <v>0</v>
      </c>
      <c r="M9" s="25" t="s">
        <v>85</v>
      </c>
      <c r="N9" s="30">
        <v>46217</v>
      </c>
      <c r="O9" s="26"/>
    </row>
    <row r="10" spans="1:15" x14ac:dyDescent="0.25">
      <c r="A10" s="31" t="s">
        <v>94</v>
      </c>
      <c r="B10" s="31" t="s">
        <v>36</v>
      </c>
      <c r="C10" s="32" t="s">
        <v>95</v>
      </c>
      <c r="D10" s="31" t="s">
        <v>83</v>
      </c>
      <c r="E10" s="31"/>
      <c r="F10" s="31" t="s">
        <v>84</v>
      </c>
      <c r="G10" s="33">
        <v>5</v>
      </c>
      <c r="H10" s="33">
        <v>50</v>
      </c>
      <c r="I10" s="33">
        <v>2</v>
      </c>
      <c r="J10" s="34">
        <v>0</v>
      </c>
      <c r="K10" s="35">
        <v>0</v>
      </c>
      <c r="L10" s="34">
        <v>0</v>
      </c>
      <c r="M10" s="31" t="s">
        <v>85</v>
      </c>
      <c r="N10" s="36">
        <v>46217</v>
      </c>
      <c r="O10" s="32"/>
    </row>
    <row r="11" spans="1:15" ht="42.75" x14ac:dyDescent="0.25">
      <c r="A11" s="25" t="s">
        <v>96</v>
      </c>
      <c r="B11" s="25" t="s">
        <v>36</v>
      </c>
      <c r="C11" s="26" t="s">
        <v>97</v>
      </c>
      <c r="D11" s="25" t="s">
        <v>83</v>
      </c>
      <c r="E11" s="25"/>
      <c r="F11" s="25" t="s">
        <v>84</v>
      </c>
      <c r="G11" s="27">
        <v>5</v>
      </c>
      <c r="H11" s="27">
        <v>50</v>
      </c>
      <c r="I11" s="27">
        <v>2</v>
      </c>
      <c r="J11" s="28">
        <v>0</v>
      </c>
      <c r="K11" s="29">
        <v>1</v>
      </c>
      <c r="L11" s="28">
        <v>0</v>
      </c>
      <c r="M11" s="25" t="s">
        <v>85</v>
      </c>
      <c r="N11" s="30">
        <v>46217</v>
      </c>
      <c r="O11" s="26"/>
    </row>
    <row r="12" spans="1:15" ht="28.5" x14ac:dyDescent="0.25">
      <c r="A12" s="31" t="s">
        <v>98</v>
      </c>
      <c r="B12" s="31" t="s">
        <v>36</v>
      </c>
      <c r="C12" s="32" t="s">
        <v>99</v>
      </c>
      <c r="D12" s="31" t="s">
        <v>83</v>
      </c>
      <c r="E12" s="31"/>
      <c r="F12" s="31" t="s">
        <v>84</v>
      </c>
      <c r="G12" s="33">
        <v>5</v>
      </c>
      <c r="H12" s="33">
        <v>50</v>
      </c>
      <c r="I12" s="33">
        <v>2</v>
      </c>
      <c r="J12" s="34">
        <v>0</v>
      </c>
      <c r="K12" s="35">
        <v>0</v>
      </c>
      <c r="L12" s="34">
        <v>0</v>
      </c>
      <c r="M12" s="31" t="s">
        <v>85</v>
      </c>
      <c r="N12" s="36">
        <v>46217</v>
      </c>
      <c r="O12" s="32"/>
    </row>
    <row r="13" spans="1:15" ht="42.75" x14ac:dyDescent="0.25">
      <c r="A13" s="25" t="s">
        <v>100</v>
      </c>
      <c r="B13" s="25" t="s">
        <v>36</v>
      </c>
      <c r="C13" s="26" t="s">
        <v>101</v>
      </c>
      <c r="D13" s="25" t="s">
        <v>83</v>
      </c>
      <c r="E13" s="25"/>
      <c r="F13" s="25" t="s">
        <v>84</v>
      </c>
      <c r="G13" s="27">
        <v>28</v>
      </c>
      <c r="H13" s="27">
        <v>210</v>
      </c>
      <c r="I13" s="27">
        <v>14</v>
      </c>
      <c r="J13" s="28">
        <v>0</v>
      </c>
      <c r="K13" s="29">
        <v>140</v>
      </c>
      <c r="L13" s="28">
        <v>0</v>
      </c>
      <c r="M13" s="25" t="s">
        <v>85</v>
      </c>
      <c r="N13" s="30">
        <v>46217</v>
      </c>
      <c r="O13" s="26"/>
    </row>
    <row r="14" spans="1:15" ht="42.75" x14ac:dyDescent="0.25">
      <c r="A14" s="31" t="s">
        <v>102</v>
      </c>
      <c r="B14" s="31" t="s">
        <v>36</v>
      </c>
      <c r="C14" s="32" t="s">
        <v>103</v>
      </c>
      <c r="D14" s="31" t="s">
        <v>83</v>
      </c>
      <c r="E14" s="31"/>
      <c r="F14" s="31" t="s">
        <v>84</v>
      </c>
      <c r="G14" s="33">
        <v>5</v>
      </c>
      <c r="H14" s="33">
        <v>50</v>
      </c>
      <c r="I14" s="33">
        <v>2</v>
      </c>
      <c r="J14" s="34">
        <v>0</v>
      </c>
      <c r="K14" s="35">
        <v>0</v>
      </c>
      <c r="L14" s="34">
        <v>0</v>
      </c>
      <c r="M14" s="31" t="s">
        <v>85</v>
      </c>
      <c r="N14" s="36">
        <v>46217</v>
      </c>
      <c r="O14" s="32"/>
    </row>
    <row r="15" spans="1:15" ht="42.75" x14ac:dyDescent="0.25">
      <c r="A15" s="25" t="s">
        <v>104</v>
      </c>
      <c r="B15" s="25" t="s">
        <v>36</v>
      </c>
      <c r="C15" s="26" t="s">
        <v>105</v>
      </c>
      <c r="D15" s="25" t="s">
        <v>83</v>
      </c>
      <c r="E15" s="25"/>
      <c r="F15" s="25" t="s">
        <v>84</v>
      </c>
      <c r="G15" s="27">
        <v>5</v>
      </c>
      <c r="H15" s="27">
        <v>50</v>
      </c>
      <c r="I15" s="27">
        <v>2</v>
      </c>
      <c r="J15" s="28">
        <v>0</v>
      </c>
      <c r="K15" s="29">
        <v>0</v>
      </c>
      <c r="L15" s="28">
        <v>0</v>
      </c>
      <c r="M15" s="25" t="s">
        <v>85</v>
      </c>
      <c r="N15" s="30">
        <v>46217</v>
      </c>
      <c r="O15" s="26"/>
    </row>
    <row r="16" spans="1:15" ht="28.5" x14ac:dyDescent="0.25">
      <c r="A16" s="31" t="s">
        <v>106</v>
      </c>
      <c r="B16" s="31" t="s">
        <v>36</v>
      </c>
      <c r="C16" s="32" t="s">
        <v>107</v>
      </c>
      <c r="D16" s="31" t="s">
        <v>83</v>
      </c>
      <c r="E16" s="31"/>
      <c r="F16" s="31" t="s">
        <v>84</v>
      </c>
      <c r="G16" s="33">
        <v>5</v>
      </c>
      <c r="H16" s="33">
        <v>50</v>
      </c>
      <c r="I16" s="33">
        <v>2</v>
      </c>
      <c r="J16" s="34">
        <v>0</v>
      </c>
      <c r="K16" s="35">
        <v>0</v>
      </c>
      <c r="L16" s="34">
        <v>0</v>
      </c>
      <c r="M16" s="31" t="s">
        <v>85</v>
      </c>
      <c r="N16" s="36">
        <v>46217</v>
      </c>
      <c r="O16" s="32"/>
    </row>
    <row r="17" spans="1:15" ht="28.5" x14ac:dyDescent="0.25">
      <c r="A17" s="25" t="s">
        <v>108</v>
      </c>
      <c r="B17" s="25" t="s">
        <v>36</v>
      </c>
      <c r="C17" s="26" t="s">
        <v>109</v>
      </c>
      <c r="D17" s="25" t="s">
        <v>83</v>
      </c>
      <c r="E17" s="25"/>
      <c r="F17" s="25" t="s">
        <v>84</v>
      </c>
      <c r="G17" s="27">
        <v>5</v>
      </c>
      <c r="H17" s="27">
        <v>50</v>
      </c>
      <c r="I17" s="27">
        <v>2</v>
      </c>
      <c r="J17" s="28">
        <v>0</v>
      </c>
      <c r="K17" s="29">
        <v>0</v>
      </c>
      <c r="L17" s="28">
        <v>0</v>
      </c>
      <c r="M17" s="25" t="s">
        <v>85</v>
      </c>
      <c r="N17" s="30">
        <v>46217</v>
      </c>
      <c r="O17" s="26"/>
    </row>
    <row r="18" spans="1:15" ht="42.75" x14ac:dyDescent="0.25">
      <c r="A18" s="31" t="s">
        <v>110</v>
      </c>
      <c r="B18" s="31" t="s">
        <v>36</v>
      </c>
      <c r="C18" s="32" t="s">
        <v>111</v>
      </c>
      <c r="D18" s="31" t="s">
        <v>83</v>
      </c>
      <c r="E18" s="31"/>
      <c r="F18" s="31" t="s">
        <v>84</v>
      </c>
      <c r="G18" s="33">
        <v>5</v>
      </c>
      <c r="H18" s="33">
        <v>50</v>
      </c>
      <c r="I18" s="33">
        <v>2</v>
      </c>
      <c r="J18" s="34">
        <v>0</v>
      </c>
      <c r="K18" s="35">
        <v>0</v>
      </c>
      <c r="L18" s="34">
        <v>0</v>
      </c>
      <c r="M18" s="31" t="s">
        <v>85</v>
      </c>
      <c r="N18" s="36">
        <v>46217</v>
      </c>
      <c r="O18" s="32"/>
    </row>
    <row r="19" spans="1:15" x14ac:dyDescent="0.25">
      <c r="A19" s="25" t="s">
        <v>112</v>
      </c>
      <c r="B19" s="25" t="s">
        <v>36</v>
      </c>
      <c r="C19" s="26" t="s">
        <v>113</v>
      </c>
      <c r="D19" s="25" t="s">
        <v>83</v>
      </c>
      <c r="E19" s="25"/>
      <c r="F19" s="25" t="s">
        <v>84</v>
      </c>
      <c r="G19" s="27">
        <v>5</v>
      </c>
      <c r="H19" s="27">
        <v>50</v>
      </c>
      <c r="I19" s="27">
        <v>2</v>
      </c>
      <c r="J19" s="28">
        <v>0</v>
      </c>
      <c r="K19" s="29">
        <v>4</v>
      </c>
      <c r="L19" s="28">
        <v>0</v>
      </c>
      <c r="M19" s="25" t="s">
        <v>85</v>
      </c>
      <c r="N19" s="30">
        <v>46217</v>
      </c>
      <c r="O19" s="26"/>
    </row>
    <row r="20" spans="1:15" ht="42.75" x14ac:dyDescent="0.25">
      <c r="A20" s="31" t="s">
        <v>114</v>
      </c>
      <c r="B20" s="31" t="s">
        <v>36</v>
      </c>
      <c r="C20" s="32" t="s">
        <v>115</v>
      </c>
      <c r="D20" s="31" t="s">
        <v>83</v>
      </c>
      <c r="E20" s="31"/>
      <c r="F20" s="31" t="s">
        <v>84</v>
      </c>
      <c r="G20" s="33">
        <v>5</v>
      </c>
      <c r="H20" s="33">
        <v>50</v>
      </c>
      <c r="I20" s="33">
        <v>2</v>
      </c>
      <c r="J20" s="34">
        <v>0</v>
      </c>
      <c r="K20" s="35">
        <v>0</v>
      </c>
      <c r="L20" s="34">
        <v>0</v>
      </c>
      <c r="M20" s="31" t="s">
        <v>85</v>
      </c>
      <c r="N20" s="36">
        <v>46217</v>
      </c>
      <c r="O20" s="32"/>
    </row>
    <row r="21" spans="1:15" ht="42.75" x14ac:dyDescent="0.25">
      <c r="A21" s="25" t="s">
        <v>116</v>
      </c>
      <c r="B21" s="25" t="s">
        <v>36</v>
      </c>
      <c r="C21" s="26" t="s">
        <v>117</v>
      </c>
      <c r="D21" s="25" t="s">
        <v>83</v>
      </c>
      <c r="E21" s="25"/>
      <c r="F21" s="25" t="s">
        <v>84</v>
      </c>
      <c r="G21" s="27">
        <v>5</v>
      </c>
      <c r="H21" s="27">
        <v>50</v>
      </c>
      <c r="I21" s="27">
        <v>2</v>
      </c>
      <c r="J21" s="28">
        <v>0</v>
      </c>
      <c r="K21" s="29">
        <v>0</v>
      </c>
      <c r="L21" s="28">
        <v>0</v>
      </c>
      <c r="M21" s="25" t="s">
        <v>85</v>
      </c>
      <c r="N21" s="30">
        <v>46217</v>
      </c>
      <c r="O21" s="26"/>
    </row>
    <row r="22" spans="1:15" x14ac:dyDescent="0.25">
      <c r="A22" s="31" t="s">
        <v>118</v>
      </c>
      <c r="B22" s="31" t="s">
        <v>36</v>
      </c>
      <c r="C22" s="32" t="s">
        <v>119</v>
      </c>
      <c r="D22" s="31" t="s">
        <v>83</v>
      </c>
      <c r="E22" s="31"/>
      <c r="F22" s="31" t="s">
        <v>84</v>
      </c>
      <c r="G22" s="33">
        <v>5</v>
      </c>
      <c r="H22" s="33">
        <v>50</v>
      </c>
      <c r="I22" s="33">
        <v>2</v>
      </c>
      <c r="J22" s="34">
        <v>0</v>
      </c>
      <c r="K22" s="35">
        <v>0</v>
      </c>
      <c r="L22" s="34">
        <v>0</v>
      </c>
      <c r="M22" s="31" t="s">
        <v>85</v>
      </c>
      <c r="N22" s="36">
        <v>46217</v>
      </c>
      <c r="O22" s="32"/>
    </row>
    <row r="23" spans="1:15" ht="42.75" x14ac:dyDescent="0.25">
      <c r="A23" s="25" t="s">
        <v>120</v>
      </c>
      <c r="B23" s="25" t="s">
        <v>36</v>
      </c>
      <c r="C23" s="26" t="s">
        <v>121</v>
      </c>
      <c r="D23" s="25" t="s">
        <v>83</v>
      </c>
      <c r="E23" s="25"/>
      <c r="F23" s="25" t="s">
        <v>84</v>
      </c>
      <c r="G23" s="27">
        <v>19</v>
      </c>
      <c r="H23" s="27">
        <v>146</v>
      </c>
      <c r="I23" s="27">
        <v>10</v>
      </c>
      <c r="J23" s="28">
        <v>0</v>
      </c>
      <c r="K23" s="29">
        <v>97</v>
      </c>
      <c r="L23" s="28">
        <v>0</v>
      </c>
      <c r="M23" s="25" t="s">
        <v>85</v>
      </c>
      <c r="N23" s="30">
        <v>46217</v>
      </c>
      <c r="O23" s="26"/>
    </row>
    <row r="24" spans="1:15" ht="42.75" x14ac:dyDescent="0.25">
      <c r="A24" s="31" t="s">
        <v>122</v>
      </c>
      <c r="B24" s="31" t="s">
        <v>36</v>
      </c>
      <c r="C24" s="32" t="s">
        <v>123</v>
      </c>
      <c r="D24" s="31" t="s">
        <v>83</v>
      </c>
      <c r="E24" s="31"/>
      <c r="F24" s="31" t="s">
        <v>84</v>
      </c>
      <c r="G24" s="33">
        <v>5</v>
      </c>
      <c r="H24" s="33">
        <v>50</v>
      </c>
      <c r="I24" s="33">
        <v>2</v>
      </c>
      <c r="J24" s="34">
        <v>0</v>
      </c>
      <c r="K24" s="35">
        <v>0</v>
      </c>
      <c r="L24" s="34">
        <v>0</v>
      </c>
      <c r="M24" s="31" t="s">
        <v>85</v>
      </c>
      <c r="N24" s="36">
        <v>46217</v>
      </c>
      <c r="O24" s="32"/>
    </row>
    <row r="25" spans="1:15" ht="57" x14ac:dyDescent="0.25">
      <c r="A25" s="25" t="s">
        <v>124</v>
      </c>
      <c r="B25" s="25" t="s">
        <v>36</v>
      </c>
      <c r="C25" s="26" t="s">
        <v>125</v>
      </c>
      <c r="D25" s="25" t="s">
        <v>83</v>
      </c>
      <c r="E25" s="25"/>
      <c r="F25" s="25" t="s">
        <v>84</v>
      </c>
      <c r="G25" s="27">
        <v>5</v>
      </c>
      <c r="H25" s="27">
        <v>50</v>
      </c>
      <c r="I25" s="27">
        <v>2</v>
      </c>
      <c r="J25" s="28">
        <v>0</v>
      </c>
      <c r="K25" s="29">
        <v>0</v>
      </c>
      <c r="L25" s="28">
        <v>0</v>
      </c>
      <c r="M25" s="25" t="s">
        <v>85</v>
      </c>
      <c r="N25" s="30">
        <v>46217</v>
      </c>
      <c r="O25" s="26"/>
    </row>
    <row r="26" spans="1:15" ht="42.75" x14ac:dyDescent="0.25">
      <c r="A26" s="31" t="s">
        <v>126</v>
      </c>
      <c r="B26" s="31" t="s">
        <v>36</v>
      </c>
      <c r="C26" s="32" t="s">
        <v>127</v>
      </c>
      <c r="D26" s="31" t="s">
        <v>83</v>
      </c>
      <c r="E26" s="31"/>
      <c r="F26" s="31" t="s">
        <v>84</v>
      </c>
      <c r="G26" s="33">
        <v>5</v>
      </c>
      <c r="H26" s="33">
        <v>50</v>
      </c>
      <c r="I26" s="33">
        <v>2</v>
      </c>
      <c r="J26" s="34">
        <v>0</v>
      </c>
      <c r="K26" s="35">
        <v>0</v>
      </c>
      <c r="L26" s="34">
        <v>0</v>
      </c>
      <c r="M26" s="31" t="s">
        <v>85</v>
      </c>
      <c r="N26" s="36">
        <v>46217</v>
      </c>
      <c r="O26" s="32"/>
    </row>
    <row r="27" spans="1:15" ht="42.75" x14ac:dyDescent="0.25">
      <c r="A27" s="25" t="s">
        <v>128</v>
      </c>
      <c r="B27" s="25" t="s">
        <v>36</v>
      </c>
      <c r="C27" s="26" t="s">
        <v>129</v>
      </c>
      <c r="D27" s="25" t="s">
        <v>83</v>
      </c>
      <c r="E27" s="25"/>
      <c r="F27" s="25" t="s">
        <v>84</v>
      </c>
      <c r="G27" s="27">
        <v>5</v>
      </c>
      <c r="H27" s="27">
        <v>50</v>
      </c>
      <c r="I27" s="27">
        <v>2</v>
      </c>
      <c r="J27" s="28">
        <v>0</v>
      </c>
      <c r="K27" s="29">
        <v>0</v>
      </c>
      <c r="L27" s="28">
        <v>0</v>
      </c>
      <c r="M27" s="25" t="s">
        <v>85</v>
      </c>
      <c r="N27" s="30">
        <v>46217</v>
      </c>
      <c r="O27" s="26"/>
    </row>
    <row r="28" spans="1:15" ht="42.75" x14ac:dyDescent="0.25">
      <c r="A28" s="31" t="s">
        <v>130</v>
      </c>
      <c r="B28" s="31" t="s">
        <v>36</v>
      </c>
      <c r="C28" s="32" t="s">
        <v>131</v>
      </c>
      <c r="D28" s="31" t="s">
        <v>83</v>
      </c>
      <c r="E28" s="31"/>
      <c r="F28" s="31" t="s">
        <v>84</v>
      </c>
      <c r="G28" s="33">
        <v>5</v>
      </c>
      <c r="H28" s="33">
        <v>50</v>
      </c>
      <c r="I28" s="33">
        <v>2</v>
      </c>
      <c r="J28" s="34">
        <v>0</v>
      </c>
      <c r="K28" s="35">
        <v>0</v>
      </c>
      <c r="L28" s="34">
        <v>0</v>
      </c>
      <c r="M28" s="31" t="s">
        <v>85</v>
      </c>
      <c r="N28" s="36">
        <v>46217</v>
      </c>
      <c r="O28" s="32"/>
    </row>
    <row r="29" spans="1:15" ht="28.5" x14ac:dyDescent="0.25">
      <c r="A29" s="25" t="s">
        <v>132</v>
      </c>
      <c r="B29" s="25" t="s">
        <v>36</v>
      </c>
      <c r="C29" s="26" t="s">
        <v>133</v>
      </c>
      <c r="D29" s="25" t="s">
        <v>83</v>
      </c>
      <c r="E29" s="25"/>
      <c r="F29" s="25" t="s">
        <v>84</v>
      </c>
      <c r="G29" s="27">
        <v>30</v>
      </c>
      <c r="H29" s="27">
        <v>225</v>
      </c>
      <c r="I29" s="27">
        <v>15</v>
      </c>
      <c r="J29" s="28">
        <v>0</v>
      </c>
      <c r="K29" s="29">
        <v>150</v>
      </c>
      <c r="L29" s="28">
        <v>0</v>
      </c>
      <c r="M29" s="25" t="s">
        <v>85</v>
      </c>
      <c r="N29" s="30">
        <v>46217</v>
      </c>
      <c r="O29" s="26"/>
    </row>
    <row r="30" spans="1:15" ht="28.5" x14ac:dyDescent="0.25">
      <c r="A30" s="31" t="s">
        <v>134</v>
      </c>
      <c r="B30" s="31" t="s">
        <v>36</v>
      </c>
      <c r="C30" s="32" t="s">
        <v>135</v>
      </c>
      <c r="D30" s="31" t="s">
        <v>83</v>
      </c>
      <c r="E30" s="31"/>
      <c r="F30" s="31" t="s">
        <v>84</v>
      </c>
      <c r="G30" s="33">
        <v>5</v>
      </c>
      <c r="H30" s="33">
        <v>50</v>
      </c>
      <c r="I30" s="33">
        <v>2</v>
      </c>
      <c r="J30" s="34">
        <v>0</v>
      </c>
      <c r="K30" s="35">
        <v>0</v>
      </c>
      <c r="L30" s="34">
        <v>0</v>
      </c>
      <c r="M30" s="31" t="s">
        <v>85</v>
      </c>
      <c r="N30" s="36">
        <v>46217</v>
      </c>
      <c r="O30" s="32"/>
    </row>
    <row r="31" spans="1:15" ht="28.5" x14ac:dyDescent="0.25">
      <c r="A31" s="25" t="s">
        <v>136</v>
      </c>
      <c r="B31" s="25" t="s">
        <v>36</v>
      </c>
      <c r="C31" s="26" t="s">
        <v>137</v>
      </c>
      <c r="D31" s="25" t="s">
        <v>83</v>
      </c>
      <c r="E31" s="25"/>
      <c r="F31" s="25" t="s">
        <v>84</v>
      </c>
      <c r="G31" s="27">
        <v>7400</v>
      </c>
      <c r="H31" s="27">
        <v>55500</v>
      </c>
      <c r="I31" s="27">
        <v>3700</v>
      </c>
      <c r="J31" s="28">
        <v>0</v>
      </c>
      <c r="K31" s="29">
        <v>37000</v>
      </c>
      <c r="L31" s="28">
        <v>0</v>
      </c>
      <c r="M31" s="25" t="s">
        <v>85</v>
      </c>
      <c r="N31" s="30">
        <v>46217</v>
      </c>
      <c r="O31" s="26"/>
    </row>
    <row r="32" spans="1:15" ht="42.75" x14ac:dyDescent="0.25">
      <c r="A32" s="31" t="s">
        <v>138</v>
      </c>
      <c r="B32" s="31" t="s">
        <v>36</v>
      </c>
      <c r="C32" s="32" t="s">
        <v>139</v>
      </c>
      <c r="D32" s="31" t="s">
        <v>83</v>
      </c>
      <c r="E32" s="31"/>
      <c r="F32" s="31" t="s">
        <v>84</v>
      </c>
      <c r="G32" s="33">
        <v>5</v>
      </c>
      <c r="H32" s="33">
        <v>50</v>
      </c>
      <c r="I32" s="33">
        <v>2</v>
      </c>
      <c r="J32" s="34">
        <v>0</v>
      </c>
      <c r="K32" s="35">
        <v>0</v>
      </c>
      <c r="L32" s="34">
        <v>0</v>
      </c>
      <c r="M32" s="31" t="s">
        <v>85</v>
      </c>
      <c r="N32" s="36">
        <v>46217</v>
      </c>
      <c r="O32" s="32"/>
    </row>
    <row r="33" spans="1:15" ht="71.25" x14ac:dyDescent="0.25">
      <c r="A33" s="25" t="s">
        <v>140</v>
      </c>
      <c r="B33" s="25" t="s">
        <v>36</v>
      </c>
      <c r="C33" s="26" t="s">
        <v>141</v>
      </c>
      <c r="D33" s="25" t="s">
        <v>83</v>
      </c>
      <c r="E33" s="25"/>
      <c r="F33" s="25" t="s">
        <v>84</v>
      </c>
      <c r="G33" s="27">
        <v>5</v>
      </c>
      <c r="H33" s="27">
        <v>50</v>
      </c>
      <c r="I33" s="27">
        <v>2</v>
      </c>
      <c r="J33" s="28">
        <v>0</v>
      </c>
      <c r="K33" s="29">
        <v>0</v>
      </c>
      <c r="L33" s="28">
        <v>0</v>
      </c>
      <c r="M33" s="25" t="s">
        <v>85</v>
      </c>
      <c r="N33" s="30">
        <v>46217</v>
      </c>
      <c r="O33" s="26"/>
    </row>
    <row r="34" spans="1:15" ht="57" x14ac:dyDescent="0.25">
      <c r="A34" s="31" t="s">
        <v>142</v>
      </c>
      <c r="B34" s="31" t="s">
        <v>36</v>
      </c>
      <c r="C34" s="32" t="s">
        <v>143</v>
      </c>
      <c r="D34" s="31" t="s">
        <v>83</v>
      </c>
      <c r="E34" s="31"/>
      <c r="F34" s="31" t="s">
        <v>84</v>
      </c>
      <c r="G34" s="33">
        <v>5</v>
      </c>
      <c r="H34" s="33">
        <v>50</v>
      </c>
      <c r="I34" s="33">
        <v>2</v>
      </c>
      <c r="J34" s="34">
        <v>0</v>
      </c>
      <c r="K34" s="35">
        <v>0</v>
      </c>
      <c r="L34" s="34">
        <v>0</v>
      </c>
      <c r="M34" s="31" t="s">
        <v>85</v>
      </c>
      <c r="N34" s="36">
        <v>46217</v>
      </c>
      <c r="O34" s="32"/>
    </row>
    <row r="35" spans="1:15" ht="57" x14ac:dyDescent="0.25">
      <c r="A35" s="25" t="s">
        <v>144</v>
      </c>
      <c r="B35" s="25" t="s">
        <v>36</v>
      </c>
      <c r="C35" s="26" t="s">
        <v>145</v>
      </c>
      <c r="D35" s="25" t="s">
        <v>83</v>
      </c>
      <c r="E35" s="25"/>
      <c r="F35" s="25" t="s">
        <v>84</v>
      </c>
      <c r="G35" s="27">
        <v>5</v>
      </c>
      <c r="H35" s="27">
        <v>50</v>
      </c>
      <c r="I35" s="27">
        <v>2</v>
      </c>
      <c r="J35" s="28">
        <v>0</v>
      </c>
      <c r="K35" s="29">
        <v>0</v>
      </c>
      <c r="L35" s="28">
        <v>0</v>
      </c>
      <c r="M35" s="25" t="s">
        <v>85</v>
      </c>
      <c r="N35" s="30">
        <v>46217</v>
      </c>
      <c r="O35" s="26"/>
    </row>
    <row r="36" spans="1:15" ht="57" x14ac:dyDescent="0.25">
      <c r="A36" s="31" t="s">
        <v>146</v>
      </c>
      <c r="B36" s="31" t="s">
        <v>36</v>
      </c>
      <c r="C36" s="32" t="s">
        <v>147</v>
      </c>
      <c r="D36" s="31" t="s">
        <v>83</v>
      </c>
      <c r="E36" s="31"/>
      <c r="F36" s="31" t="s">
        <v>84</v>
      </c>
      <c r="G36" s="33">
        <v>5</v>
      </c>
      <c r="H36" s="33">
        <v>50</v>
      </c>
      <c r="I36" s="33">
        <v>2</v>
      </c>
      <c r="J36" s="34">
        <v>0</v>
      </c>
      <c r="K36" s="35">
        <v>0</v>
      </c>
      <c r="L36" s="34">
        <v>0</v>
      </c>
      <c r="M36" s="31" t="s">
        <v>85</v>
      </c>
      <c r="N36" s="36">
        <v>46217</v>
      </c>
      <c r="O36" s="32"/>
    </row>
    <row r="37" spans="1:15" ht="57" x14ac:dyDescent="0.25">
      <c r="A37" s="25" t="s">
        <v>148</v>
      </c>
      <c r="B37" s="25" t="s">
        <v>36</v>
      </c>
      <c r="C37" s="26" t="s">
        <v>149</v>
      </c>
      <c r="D37" s="25" t="s">
        <v>83</v>
      </c>
      <c r="E37" s="25"/>
      <c r="F37" s="25" t="s">
        <v>84</v>
      </c>
      <c r="G37" s="27">
        <v>5</v>
      </c>
      <c r="H37" s="27">
        <v>50</v>
      </c>
      <c r="I37" s="27">
        <v>2</v>
      </c>
      <c r="J37" s="28">
        <v>0</v>
      </c>
      <c r="K37" s="29">
        <v>0</v>
      </c>
      <c r="L37" s="28">
        <v>0</v>
      </c>
      <c r="M37" s="25" t="s">
        <v>85</v>
      </c>
      <c r="N37" s="30">
        <v>46217</v>
      </c>
      <c r="O37" s="26"/>
    </row>
    <row r="38" spans="1:15" ht="57" x14ac:dyDescent="0.25">
      <c r="A38" s="31" t="s">
        <v>150</v>
      </c>
      <c r="B38" s="31" t="s">
        <v>36</v>
      </c>
      <c r="C38" s="32" t="s">
        <v>151</v>
      </c>
      <c r="D38" s="31" t="s">
        <v>83</v>
      </c>
      <c r="E38" s="31"/>
      <c r="F38" s="31" t="s">
        <v>84</v>
      </c>
      <c r="G38" s="33">
        <v>5</v>
      </c>
      <c r="H38" s="33">
        <v>50</v>
      </c>
      <c r="I38" s="33">
        <v>2</v>
      </c>
      <c r="J38" s="34">
        <v>0</v>
      </c>
      <c r="K38" s="35">
        <v>0</v>
      </c>
      <c r="L38" s="34">
        <v>0</v>
      </c>
      <c r="M38" s="31" t="s">
        <v>85</v>
      </c>
      <c r="N38" s="36">
        <v>46217</v>
      </c>
      <c r="O38" s="32"/>
    </row>
    <row r="39" spans="1:15" ht="28.5" x14ac:dyDescent="0.25">
      <c r="A39" s="25" t="s">
        <v>152</v>
      </c>
      <c r="B39" s="25" t="s">
        <v>36</v>
      </c>
      <c r="C39" s="26" t="s">
        <v>153</v>
      </c>
      <c r="D39" s="25" t="s">
        <v>83</v>
      </c>
      <c r="E39" s="25"/>
      <c r="F39" s="25" t="s">
        <v>84</v>
      </c>
      <c r="G39" s="27">
        <v>5</v>
      </c>
      <c r="H39" s="27">
        <v>50</v>
      </c>
      <c r="I39" s="27">
        <v>2</v>
      </c>
      <c r="J39" s="28">
        <v>0</v>
      </c>
      <c r="K39" s="29">
        <v>0</v>
      </c>
      <c r="L39" s="28">
        <v>0</v>
      </c>
      <c r="M39" s="25" t="s">
        <v>85</v>
      </c>
      <c r="N39" s="30">
        <v>46217</v>
      </c>
      <c r="O39" s="26"/>
    </row>
    <row r="40" spans="1:15" ht="28.5" x14ac:dyDescent="0.25">
      <c r="A40" s="31" t="s">
        <v>154</v>
      </c>
      <c r="B40" s="31" t="s">
        <v>36</v>
      </c>
      <c r="C40" s="32" t="s">
        <v>155</v>
      </c>
      <c r="D40" s="31" t="s">
        <v>83</v>
      </c>
      <c r="E40" s="31"/>
      <c r="F40" s="31" t="s">
        <v>84</v>
      </c>
      <c r="G40" s="33">
        <v>5</v>
      </c>
      <c r="H40" s="33">
        <v>50</v>
      </c>
      <c r="I40" s="33">
        <v>2</v>
      </c>
      <c r="J40" s="34">
        <v>0</v>
      </c>
      <c r="K40" s="35">
        <v>0</v>
      </c>
      <c r="L40" s="34">
        <v>0</v>
      </c>
      <c r="M40" s="31" t="s">
        <v>85</v>
      </c>
      <c r="N40" s="36">
        <v>46217</v>
      </c>
      <c r="O40" s="32"/>
    </row>
    <row r="41" spans="1:15" ht="28.5" x14ac:dyDescent="0.25">
      <c r="A41" s="25" t="s">
        <v>156</v>
      </c>
      <c r="B41" s="25" t="s">
        <v>36</v>
      </c>
      <c r="C41" s="26" t="s">
        <v>157</v>
      </c>
      <c r="D41" s="25" t="s">
        <v>83</v>
      </c>
      <c r="E41" s="25"/>
      <c r="F41" s="25" t="s">
        <v>84</v>
      </c>
      <c r="G41" s="27">
        <v>5</v>
      </c>
      <c r="H41" s="27">
        <v>50</v>
      </c>
      <c r="I41" s="27">
        <v>2</v>
      </c>
      <c r="J41" s="28">
        <v>0</v>
      </c>
      <c r="K41" s="29">
        <v>0</v>
      </c>
      <c r="L41" s="28">
        <v>0</v>
      </c>
      <c r="M41" s="25" t="s">
        <v>85</v>
      </c>
      <c r="N41" s="30">
        <v>46217</v>
      </c>
      <c r="O41" s="26"/>
    </row>
    <row r="42" spans="1:15" ht="28.5" x14ac:dyDescent="0.25">
      <c r="A42" s="31" t="s">
        <v>158</v>
      </c>
      <c r="B42" s="31" t="s">
        <v>36</v>
      </c>
      <c r="C42" s="32" t="s">
        <v>159</v>
      </c>
      <c r="D42" s="31" t="s">
        <v>83</v>
      </c>
      <c r="E42" s="31"/>
      <c r="F42" s="31" t="s">
        <v>84</v>
      </c>
      <c r="G42" s="33">
        <v>5</v>
      </c>
      <c r="H42" s="33">
        <v>50</v>
      </c>
      <c r="I42" s="33">
        <v>2</v>
      </c>
      <c r="J42" s="34">
        <v>0</v>
      </c>
      <c r="K42" s="35">
        <v>0</v>
      </c>
      <c r="L42" s="34">
        <v>0</v>
      </c>
      <c r="M42" s="31" t="s">
        <v>85</v>
      </c>
      <c r="N42" s="36">
        <v>46217</v>
      </c>
      <c r="O42" s="32"/>
    </row>
    <row r="43" spans="1:15" ht="28.5" x14ac:dyDescent="0.25">
      <c r="A43" s="25" t="s">
        <v>160</v>
      </c>
      <c r="B43" s="25" t="s">
        <v>36</v>
      </c>
      <c r="C43" s="26" t="s">
        <v>161</v>
      </c>
      <c r="D43" s="25" t="s">
        <v>83</v>
      </c>
      <c r="E43" s="25"/>
      <c r="F43" s="25" t="s">
        <v>84</v>
      </c>
      <c r="G43" s="27">
        <v>5</v>
      </c>
      <c r="H43" s="27">
        <v>50</v>
      </c>
      <c r="I43" s="27">
        <v>2</v>
      </c>
      <c r="J43" s="28">
        <v>0</v>
      </c>
      <c r="K43" s="29">
        <v>0</v>
      </c>
      <c r="L43" s="28">
        <v>0</v>
      </c>
      <c r="M43" s="25" t="s">
        <v>85</v>
      </c>
      <c r="N43" s="30">
        <v>46217</v>
      </c>
      <c r="O43" s="26"/>
    </row>
    <row r="44" spans="1:15" ht="42.75" x14ac:dyDescent="0.25">
      <c r="A44" s="31" t="s">
        <v>162</v>
      </c>
      <c r="B44" s="31" t="s">
        <v>36</v>
      </c>
      <c r="C44" s="32" t="s">
        <v>163</v>
      </c>
      <c r="D44" s="31" t="s">
        <v>83</v>
      </c>
      <c r="E44" s="31"/>
      <c r="F44" s="31" t="s">
        <v>84</v>
      </c>
      <c r="G44" s="33">
        <v>5</v>
      </c>
      <c r="H44" s="33">
        <v>50</v>
      </c>
      <c r="I44" s="33">
        <v>2</v>
      </c>
      <c r="J44" s="34">
        <v>0</v>
      </c>
      <c r="K44" s="35">
        <v>0</v>
      </c>
      <c r="L44" s="34">
        <v>0</v>
      </c>
      <c r="M44" s="31" t="s">
        <v>85</v>
      </c>
      <c r="N44" s="36">
        <v>46217</v>
      </c>
      <c r="O44" s="32"/>
    </row>
    <row r="45" spans="1:15" ht="28.5" x14ac:dyDescent="0.25">
      <c r="A45" s="25" t="s">
        <v>164</v>
      </c>
      <c r="B45" s="25" t="s">
        <v>36</v>
      </c>
      <c r="C45" s="26" t="s">
        <v>165</v>
      </c>
      <c r="D45" s="25" t="s">
        <v>83</v>
      </c>
      <c r="E45" s="25"/>
      <c r="F45" s="25" t="s">
        <v>84</v>
      </c>
      <c r="G45" s="27">
        <v>5</v>
      </c>
      <c r="H45" s="27">
        <v>50</v>
      </c>
      <c r="I45" s="27">
        <v>2</v>
      </c>
      <c r="J45" s="28">
        <v>0</v>
      </c>
      <c r="K45" s="29">
        <v>5</v>
      </c>
      <c r="L45" s="28">
        <v>0</v>
      </c>
      <c r="M45" s="25" t="s">
        <v>85</v>
      </c>
      <c r="N45" s="30">
        <v>46217</v>
      </c>
      <c r="O45" s="26"/>
    </row>
    <row r="46" spans="1:15" ht="57" x14ac:dyDescent="0.25">
      <c r="A46" s="31" t="s">
        <v>166</v>
      </c>
      <c r="B46" s="31" t="s">
        <v>36</v>
      </c>
      <c r="C46" s="32" t="s">
        <v>167</v>
      </c>
      <c r="D46" s="31" t="s">
        <v>83</v>
      </c>
      <c r="E46" s="31"/>
      <c r="F46" s="31" t="s">
        <v>84</v>
      </c>
      <c r="G46" s="33">
        <v>5</v>
      </c>
      <c r="H46" s="33">
        <v>50</v>
      </c>
      <c r="I46" s="33">
        <v>2</v>
      </c>
      <c r="J46" s="34">
        <v>0</v>
      </c>
      <c r="K46" s="35">
        <v>0</v>
      </c>
      <c r="L46" s="34">
        <v>0</v>
      </c>
      <c r="M46" s="31" t="s">
        <v>85</v>
      </c>
      <c r="N46" s="36">
        <v>46217</v>
      </c>
      <c r="O46" s="32"/>
    </row>
    <row r="47" spans="1:15" ht="71.25" x14ac:dyDescent="0.25">
      <c r="A47" s="25" t="s">
        <v>168</v>
      </c>
      <c r="B47" s="25" t="s">
        <v>36</v>
      </c>
      <c r="C47" s="26" t="s">
        <v>169</v>
      </c>
      <c r="D47" s="25" t="s">
        <v>83</v>
      </c>
      <c r="E47" s="25"/>
      <c r="F47" s="25" t="s">
        <v>84</v>
      </c>
      <c r="G47" s="27">
        <v>5</v>
      </c>
      <c r="H47" s="27">
        <v>50</v>
      </c>
      <c r="I47" s="27">
        <v>2</v>
      </c>
      <c r="J47" s="28">
        <v>0</v>
      </c>
      <c r="K47" s="29">
        <v>0</v>
      </c>
      <c r="L47" s="28">
        <v>0</v>
      </c>
      <c r="M47" s="25" t="s">
        <v>85</v>
      </c>
      <c r="N47" s="30">
        <v>46217</v>
      </c>
      <c r="O47" s="26"/>
    </row>
    <row r="48" spans="1:15" ht="57" x14ac:dyDescent="0.25">
      <c r="A48" s="31" t="s">
        <v>170</v>
      </c>
      <c r="B48" s="31" t="s">
        <v>36</v>
      </c>
      <c r="C48" s="32" t="s">
        <v>171</v>
      </c>
      <c r="D48" s="31" t="s">
        <v>83</v>
      </c>
      <c r="E48" s="31"/>
      <c r="F48" s="31" t="s">
        <v>84</v>
      </c>
      <c r="G48" s="33">
        <v>5</v>
      </c>
      <c r="H48" s="33">
        <v>50</v>
      </c>
      <c r="I48" s="33">
        <v>2</v>
      </c>
      <c r="J48" s="34">
        <v>0</v>
      </c>
      <c r="K48" s="35">
        <v>0</v>
      </c>
      <c r="L48" s="34">
        <v>0</v>
      </c>
      <c r="M48" s="31" t="s">
        <v>85</v>
      </c>
      <c r="N48" s="36">
        <v>46217</v>
      </c>
      <c r="O48" s="32"/>
    </row>
    <row r="49" spans="1:15" x14ac:dyDescent="0.25">
      <c r="A49" s="25" t="s">
        <v>172</v>
      </c>
      <c r="B49" s="25" t="s">
        <v>36</v>
      </c>
      <c r="C49" s="26" t="s">
        <v>173</v>
      </c>
      <c r="D49" s="25" t="s">
        <v>83</v>
      </c>
      <c r="E49" s="25"/>
      <c r="F49" s="25" t="s">
        <v>84</v>
      </c>
      <c r="G49" s="27">
        <v>5</v>
      </c>
      <c r="H49" s="27">
        <v>50</v>
      </c>
      <c r="I49" s="27">
        <v>2</v>
      </c>
      <c r="J49" s="28">
        <v>0</v>
      </c>
      <c r="K49" s="29">
        <v>0</v>
      </c>
      <c r="L49" s="28">
        <v>0</v>
      </c>
      <c r="M49" s="25" t="s">
        <v>85</v>
      </c>
      <c r="N49" s="30">
        <v>46217</v>
      </c>
      <c r="O49" s="26"/>
    </row>
    <row r="50" spans="1:15" ht="57" x14ac:dyDescent="0.25">
      <c r="A50" s="31" t="s">
        <v>174</v>
      </c>
      <c r="B50" s="31" t="s">
        <v>36</v>
      </c>
      <c r="C50" s="32" t="s">
        <v>175</v>
      </c>
      <c r="D50" s="31" t="s">
        <v>83</v>
      </c>
      <c r="E50" s="31"/>
      <c r="F50" s="31" t="s">
        <v>84</v>
      </c>
      <c r="G50" s="33">
        <v>5</v>
      </c>
      <c r="H50" s="33">
        <v>50</v>
      </c>
      <c r="I50" s="33">
        <v>2</v>
      </c>
      <c r="J50" s="34">
        <v>0</v>
      </c>
      <c r="K50" s="35">
        <v>0</v>
      </c>
      <c r="L50" s="34">
        <v>0</v>
      </c>
      <c r="M50" s="31" t="s">
        <v>85</v>
      </c>
      <c r="N50" s="36">
        <v>46217</v>
      </c>
      <c r="O50" s="32"/>
    </row>
    <row r="51" spans="1:15" ht="42.75" x14ac:dyDescent="0.25">
      <c r="A51" s="25" t="s">
        <v>176</v>
      </c>
      <c r="B51" s="25" t="s">
        <v>36</v>
      </c>
      <c r="C51" s="26" t="s">
        <v>177</v>
      </c>
      <c r="D51" s="25" t="s">
        <v>83</v>
      </c>
      <c r="E51" s="25"/>
      <c r="F51" s="25" t="s">
        <v>84</v>
      </c>
      <c r="G51" s="27">
        <v>5</v>
      </c>
      <c r="H51" s="27">
        <v>50</v>
      </c>
      <c r="I51" s="27">
        <v>2</v>
      </c>
      <c r="J51" s="28">
        <v>0</v>
      </c>
      <c r="K51" s="29">
        <v>0</v>
      </c>
      <c r="L51" s="28">
        <v>0</v>
      </c>
      <c r="M51" s="25" t="s">
        <v>85</v>
      </c>
      <c r="N51" s="30">
        <v>46217</v>
      </c>
      <c r="O51" s="26"/>
    </row>
    <row r="52" spans="1:15" ht="28.5" x14ac:dyDescent="0.25">
      <c r="A52" s="31" t="s">
        <v>178</v>
      </c>
      <c r="B52" s="31" t="s">
        <v>36</v>
      </c>
      <c r="C52" s="32" t="s">
        <v>179</v>
      </c>
      <c r="D52" s="31" t="s">
        <v>83</v>
      </c>
      <c r="E52" s="31"/>
      <c r="F52" s="31" t="s">
        <v>84</v>
      </c>
      <c r="G52" s="33">
        <v>114</v>
      </c>
      <c r="H52" s="33">
        <v>854</v>
      </c>
      <c r="I52" s="33">
        <v>57</v>
      </c>
      <c r="J52" s="34">
        <v>0</v>
      </c>
      <c r="K52" s="35">
        <v>569</v>
      </c>
      <c r="L52" s="34">
        <v>0</v>
      </c>
      <c r="M52" s="31" t="s">
        <v>85</v>
      </c>
      <c r="N52" s="36">
        <v>46217</v>
      </c>
      <c r="O52" s="32"/>
    </row>
    <row r="53" spans="1:15" ht="42.75" x14ac:dyDescent="0.25">
      <c r="A53" s="25" t="s">
        <v>180</v>
      </c>
      <c r="B53" s="25" t="s">
        <v>36</v>
      </c>
      <c r="C53" s="26" t="s">
        <v>181</v>
      </c>
      <c r="D53" s="25" t="s">
        <v>83</v>
      </c>
      <c r="E53" s="25"/>
      <c r="F53" s="25" t="s">
        <v>84</v>
      </c>
      <c r="G53" s="27">
        <v>5</v>
      </c>
      <c r="H53" s="27">
        <v>50</v>
      </c>
      <c r="I53" s="27">
        <v>2</v>
      </c>
      <c r="J53" s="28">
        <v>0</v>
      </c>
      <c r="K53" s="29">
        <v>0</v>
      </c>
      <c r="L53" s="28">
        <v>0</v>
      </c>
      <c r="M53" s="25" t="s">
        <v>85</v>
      </c>
      <c r="N53" s="30">
        <v>46217</v>
      </c>
      <c r="O53" s="26"/>
    </row>
    <row r="54" spans="1:15" ht="42.75" x14ac:dyDescent="0.25">
      <c r="A54" s="31" t="s">
        <v>182</v>
      </c>
      <c r="B54" s="31" t="s">
        <v>36</v>
      </c>
      <c r="C54" s="32" t="s">
        <v>183</v>
      </c>
      <c r="D54" s="31" t="s">
        <v>83</v>
      </c>
      <c r="E54" s="31"/>
      <c r="F54" s="31" t="s">
        <v>84</v>
      </c>
      <c r="G54" s="33">
        <v>5</v>
      </c>
      <c r="H54" s="33">
        <v>50</v>
      </c>
      <c r="I54" s="33">
        <v>2</v>
      </c>
      <c r="J54" s="34">
        <v>0</v>
      </c>
      <c r="K54" s="35">
        <v>0</v>
      </c>
      <c r="L54" s="34">
        <v>0</v>
      </c>
      <c r="M54" s="31" t="s">
        <v>85</v>
      </c>
      <c r="N54" s="36">
        <v>46217</v>
      </c>
      <c r="O54" s="32"/>
    </row>
    <row r="55" spans="1:15" ht="57" x14ac:dyDescent="0.25">
      <c r="A55" s="25" t="s">
        <v>184</v>
      </c>
      <c r="B55" s="25" t="s">
        <v>36</v>
      </c>
      <c r="C55" s="26" t="s">
        <v>185</v>
      </c>
      <c r="D55" s="25" t="s">
        <v>83</v>
      </c>
      <c r="E55" s="25"/>
      <c r="F55" s="25" t="s">
        <v>84</v>
      </c>
      <c r="G55" s="27">
        <v>5</v>
      </c>
      <c r="H55" s="27">
        <v>50</v>
      </c>
      <c r="I55" s="27">
        <v>2</v>
      </c>
      <c r="J55" s="28">
        <v>0</v>
      </c>
      <c r="K55" s="29">
        <v>0</v>
      </c>
      <c r="L55" s="28">
        <v>0</v>
      </c>
      <c r="M55" s="25" t="s">
        <v>85</v>
      </c>
      <c r="N55" s="30">
        <v>46217</v>
      </c>
      <c r="O55" s="26"/>
    </row>
    <row r="56" spans="1:15" ht="28.5" x14ac:dyDescent="0.25">
      <c r="A56" s="31" t="s">
        <v>186</v>
      </c>
      <c r="B56" s="31" t="s">
        <v>36</v>
      </c>
      <c r="C56" s="32" t="s">
        <v>187</v>
      </c>
      <c r="D56" s="31" t="s">
        <v>83</v>
      </c>
      <c r="E56" s="31"/>
      <c r="F56" s="31" t="s">
        <v>84</v>
      </c>
      <c r="G56" s="33">
        <v>5</v>
      </c>
      <c r="H56" s="33">
        <v>50</v>
      </c>
      <c r="I56" s="33">
        <v>2</v>
      </c>
      <c r="J56" s="34">
        <v>0</v>
      </c>
      <c r="K56" s="35">
        <v>0</v>
      </c>
      <c r="L56" s="34">
        <v>0</v>
      </c>
      <c r="M56" s="31" t="s">
        <v>85</v>
      </c>
      <c r="N56" s="36">
        <v>46217</v>
      </c>
      <c r="O56" s="32"/>
    </row>
    <row r="57" spans="1:15" ht="28.5" x14ac:dyDescent="0.25">
      <c r="A57" s="25" t="s">
        <v>188</v>
      </c>
      <c r="B57" s="25" t="s">
        <v>36</v>
      </c>
      <c r="C57" s="26" t="s">
        <v>189</v>
      </c>
      <c r="D57" s="25" t="s">
        <v>83</v>
      </c>
      <c r="E57" s="25"/>
      <c r="F57" s="25" t="s">
        <v>84</v>
      </c>
      <c r="G57" s="27">
        <v>12</v>
      </c>
      <c r="H57" s="27">
        <v>88</v>
      </c>
      <c r="I57" s="27">
        <v>6</v>
      </c>
      <c r="J57" s="28">
        <v>0</v>
      </c>
      <c r="K57" s="29">
        <v>59</v>
      </c>
      <c r="L57" s="28">
        <v>0</v>
      </c>
      <c r="M57" s="25" t="s">
        <v>85</v>
      </c>
      <c r="N57" s="30">
        <v>46217</v>
      </c>
      <c r="O57" s="26"/>
    </row>
    <row r="58" spans="1:15" ht="28.5" x14ac:dyDescent="0.25">
      <c r="A58" s="31" t="s">
        <v>190</v>
      </c>
      <c r="B58" s="31" t="s">
        <v>36</v>
      </c>
      <c r="C58" s="32" t="s">
        <v>191</v>
      </c>
      <c r="D58" s="31" t="s">
        <v>83</v>
      </c>
      <c r="E58" s="31"/>
      <c r="F58" s="31" t="s">
        <v>84</v>
      </c>
      <c r="G58" s="33">
        <v>5</v>
      </c>
      <c r="H58" s="33">
        <v>50</v>
      </c>
      <c r="I58" s="33">
        <v>2</v>
      </c>
      <c r="J58" s="34">
        <v>0</v>
      </c>
      <c r="K58" s="35">
        <v>0</v>
      </c>
      <c r="L58" s="34">
        <v>0</v>
      </c>
      <c r="M58" s="31" t="s">
        <v>85</v>
      </c>
      <c r="N58" s="36">
        <v>46217</v>
      </c>
      <c r="O58" s="32"/>
    </row>
    <row r="59" spans="1:15" ht="28.5" x14ac:dyDescent="0.25">
      <c r="A59" s="25" t="s">
        <v>192</v>
      </c>
      <c r="B59" s="25" t="s">
        <v>36</v>
      </c>
      <c r="C59" s="26" t="s">
        <v>193</v>
      </c>
      <c r="D59" s="25" t="s">
        <v>83</v>
      </c>
      <c r="E59" s="25"/>
      <c r="F59" s="25" t="s">
        <v>84</v>
      </c>
      <c r="G59" s="27">
        <v>5</v>
      </c>
      <c r="H59" s="27">
        <v>50</v>
      </c>
      <c r="I59" s="27">
        <v>2</v>
      </c>
      <c r="J59" s="28">
        <v>0</v>
      </c>
      <c r="K59" s="29">
        <v>13</v>
      </c>
      <c r="L59" s="28">
        <v>0</v>
      </c>
      <c r="M59" s="25" t="s">
        <v>85</v>
      </c>
      <c r="N59" s="30">
        <v>46217</v>
      </c>
      <c r="O59" s="26"/>
    </row>
    <row r="60" spans="1:15" ht="28.5" x14ac:dyDescent="0.25">
      <c r="A60" s="31" t="s">
        <v>194</v>
      </c>
      <c r="B60" s="31" t="s">
        <v>36</v>
      </c>
      <c r="C60" s="32" t="s">
        <v>195</v>
      </c>
      <c r="D60" s="31" t="s">
        <v>83</v>
      </c>
      <c r="E60" s="31"/>
      <c r="F60" s="31" t="s">
        <v>84</v>
      </c>
      <c r="G60" s="33">
        <v>5</v>
      </c>
      <c r="H60" s="33">
        <v>50</v>
      </c>
      <c r="I60" s="33">
        <v>2</v>
      </c>
      <c r="J60" s="34">
        <v>0</v>
      </c>
      <c r="K60" s="35">
        <v>0</v>
      </c>
      <c r="L60" s="34">
        <v>0</v>
      </c>
      <c r="M60" s="31" t="s">
        <v>85</v>
      </c>
      <c r="N60" s="36">
        <v>46217</v>
      </c>
      <c r="O60" s="32"/>
    </row>
    <row r="61" spans="1:15" ht="42.75" x14ac:dyDescent="0.25">
      <c r="A61" s="25" t="s">
        <v>196</v>
      </c>
      <c r="B61" s="25" t="s">
        <v>36</v>
      </c>
      <c r="C61" s="26" t="s">
        <v>197</v>
      </c>
      <c r="D61" s="25" t="s">
        <v>83</v>
      </c>
      <c r="E61" s="25"/>
      <c r="F61" s="25" t="s">
        <v>84</v>
      </c>
      <c r="G61" s="27">
        <v>222</v>
      </c>
      <c r="H61" s="27">
        <v>1668</v>
      </c>
      <c r="I61" s="27">
        <v>111</v>
      </c>
      <c r="J61" s="28">
        <v>0</v>
      </c>
      <c r="K61" s="29">
        <v>1112</v>
      </c>
      <c r="L61" s="28">
        <v>0</v>
      </c>
      <c r="M61" s="25" t="s">
        <v>85</v>
      </c>
      <c r="N61" s="30">
        <v>46217</v>
      </c>
      <c r="O61" s="26"/>
    </row>
    <row r="62" spans="1:15" ht="42.75" x14ac:dyDescent="0.25">
      <c r="A62" s="31" t="s">
        <v>198</v>
      </c>
      <c r="B62" s="31" t="s">
        <v>36</v>
      </c>
      <c r="C62" s="32" t="s">
        <v>199</v>
      </c>
      <c r="D62" s="31" t="s">
        <v>83</v>
      </c>
      <c r="E62" s="31"/>
      <c r="F62" s="31" t="s">
        <v>84</v>
      </c>
      <c r="G62" s="33">
        <v>18</v>
      </c>
      <c r="H62" s="33">
        <v>136</v>
      </c>
      <c r="I62" s="33">
        <v>9</v>
      </c>
      <c r="J62" s="34">
        <v>0</v>
      </c>
      <c r="K62" s="35">
        <v>91</v>
      </c>
      <c r="L62" s="34">
        <v>0</v>
      </c>
      <c r="M62" s="31" t="s">
        <v>85</v>
      </c>
      <c r="N62" s="36">
        <v>46217</v>
      </c>
      <c r="O62" s="32"/>
    </row>
    <row r="63" spans="1:15" ht="42.75" x14ac:dyDescent="0.25">
      <c r="A63" s="25" t="s">
        <v>200</v>
      </c>
      <c r="B63" s="25" t="s">
        <v>36</v>
      </c>
      <c r="C63" s="26" t="s">
        <v>201</v>
      </c>
      <c r="D63" s="25" t="s">
        <v>83</v>
      </c>
      <c r="E63" s="25"/>
      <c r="F63" s="25" t="s">
        <v>84</v>
      </c>
      <c r="G63" s="27">
        <v>5</v>
      </c>
      <c r="H63" s="27">
        <v>50</v>
      </c>
      <c r="I63" s="27">
        <v>2</v>
      </c>
      <c r="J63" s="28">
        <v>0</v>
      </c>
      <c r="K63" s="29">
        <v>0</v>
      </c>
      <c r="L63" s="28">
        <v>0</v>
      </c>
      <c r="M63" s="25" t="s">
        <v>85</v>
      </c>
      <c r="N63" s="30">
        <v>46217</v>
      </c>
      <c r="O63" s="26"/>
    </row>
    <row r="64" spans="1:15" ht="42.75" x14ac:dyDescent="0.25">
      <c r="A64" s="31" t="s">
        <v>202</v>
      </c>
      <c r="B64" s="31" t="s">
        <v>36</v>
      </c>
      <c r="C64" s="32" t="s">
        <v>203</v>
      </c>
      <c r="D64" s="31" t="s">
        <v>83</v>
      </c>
      <c r="E64" s="31"/>
      <c r="F64" s="31" t="s">
        <v>84</v>
      </c>
      <c r="G64" s="33">
        <v>5</v>
      </c>
      <c r="H64" s="33">
        <v>50</v>
      </c>
      <c r="I64" s="33">
        <v>2</v>
      </c>
      <c r="J64" s="34">
        <v>0</v>
      </c>
      <c r="K64" s="35">
        <v>0</v>
      </c>
      <c r="L64" s="34">
        <v>0</v>
      </c>
      <c r="M64" s="31" t="s">
        <v>85</v>
      </c>
      <c r="N64" s="36">
        <v>46217</v>
      </c>
      <c r="O64" s="32"/>
    </row>
    <row r="65" spans="1:15" ht="42.75" x14ac:dyDescent="0.25">
      <c r="A65" s="25" t="s">
        <v>204</v>
      </c>
      <c r="B65" s="25" t="s">
        <v>36</v>
      </c>
      <c r="C65" s="26" t="s">
        <v>205</v>
      </c>
      <c r="D65" s="25" t="s">
        <v>83</v>
      </c>
      <c r="E65" s="25"/>
      <c r="F65" s="25" t="s">
        <v>84</v>
      </c>
      <c r="G65" s="27">
        <v>5</v>
      </c>
      <c r="H65" s="27">
        <v>50</v>
      </c>
      <c r="I65" s="27">
        <v>2</v>
      </c>
      <c r="J65" s="28">
        <v>0</v>
      </c>
      <c r="K65" s="29">
        <v>8</v>
      </c>
      <c r="L65" s="28">
        <v>0</v>
      </c>
      <c r="M65" s="25" t="s">
        <v>85</v>
      </c>
      <c r="N65" s="30">
        <v>46217</v>
      </c>
      <c r="O65" s="26"/>
    </row>
    <row r="66" spans="1:15" ht="28.5" x14ac:dyDescent="0.25">
      <c r="A66" s="31" t="s">
        <v>206</v>
      </c>
      <c r="B66" s="31" t="s">
        <v>36</v>
      </c>
      <c r="C66" s="32" t="s">
        <v>207</v>
      </c>
      <c r="D66" s="31" t="s">
        <v>83</v>
      </c>
      <c r="E66" s="31"/>
      <c r="F66" s="31" t="s">
        <v>84</v>
      </c>
      <c r="G66" s="33">
        <v>13</v>
      </c>
      <c r="H66" s="33">
        <v>99</v>
      </c>
      <c r="I66" s="33">
        <v>6</v>
      </c>
      <c r="J66" s="34">
        <v>0</v>
      </c>
      <c r="K66" s="35">
        <v>66</v>
      </c>
      <c r="L66" s="34">
        <v>0</v>
      </c>
      <c r="M66" s="31" t="s">
        <v>85</v>
      </c>
      <c r="N66" s="36">
        <v>46217</v>
      </c>
      <c r="O66" s="32"/>
    </row>
    <row r="67" spans="1:15" ht="42.75" x14ac:dyDescent="0.25">
      <c r="A67" s="25" t="s">
        <v>208</v>
      </c>
      <c r="B67" s="25" t="s">
        <v>36</v>
      </c>
      <c r="C67" s="26" t="s">
        <v>209</v>
      </c>
      <c r="D67" s="25" t="s">
        <v>83</v>
      </c>
      <c r="E67" s="25"/>
      <c r="F67" s="25" t="s">
        <v>84</v>
      </c>
      <c r="G67" s="27">
        <v>5</v>
      </c>
      <c r="H67" s="27">
        <v>50</v>
      </c>
      <c r="I67" s="27">
        <v>2</v>
      </c>
      <c r="J67" s="28">
        <v>0</v>
      </c>
      <c r="K67" s="29">
        <v>0</v>
      </c>
      <c r="L67" s="28">
        <v>0</v>
      </c>
      <c r="M67" s="25" t="s">
        <v>85</v>
      </c>
      <c r="N67" s="30">
        <v>46217</v>
      </c>
      <c r="O67" s="26"/>
    </row>
    <row r="68" spans="1:15" ht="42.75" x14ac:dyDescent="0.25">
      <c r="A68" s="31" t="s">
        <v>210</v>
      </c>
      <c r="B68" s="31" t="s">
        <v>36</v>
      </c>
      <c r="C68" s="32" t="s">
        <v>211</v>
      </c>
      <c r="D68" s="31" t="s">
        <v>83</v>
      </c>
      <c r="E68" s="31"/>
      <c r="F68" s="31" t="s">
        <v>84</v>
      </c>
      <c r="G68" s="33">
        <v>5</v>
      </c>
      <c r="H68" s="33">
        <v>50</v>
      </c>
      <c r="I68" s="33">
        <v>2</v>
      </c>
      <c r="J68" s="34">
        <v>0</v>
      </c>
      <c r="K68" s="35">
        <v>0</v>
      </c>
      <c r="L68" s="34">
        <v>0</v>
      </c>
      <c r="M68" s="31" t="s">
        <v>85</v>
      </c>
      <c r="N68" s="36">
        <v>46217</v>
      </c>
      <c r="O68" s="32"/>
    </row>
    <row r="69" spans="1:15" ht="28.5" x14ac:dyDescent="0.25">
      <c r="A69" s="25" t="s">
        <v>212</v>
      </c>
      <c r="B69" s="25" t="s">
        <v>36</v>
      </c>
      <c r="C69" s="26" t="s">
        <v>213</v>
      </c>
      <c r="D69" s="25" t="s">
        <v>83</v>
      </c>
      <c r="E69" s="25"/>
      <c r="F69" s="25" t="s">
        <v>84</v>
      </c>
      <c r="G69" s="27">
        <v>5</v>
      </c>
      <c r="H69" s="27">
        <v>50</v>
      </c>
      <c r="I69" s="27">
        <v>2</v>
      </c>
      <c r="J69" s="28">
        <v>0</v>
      </c>
      <c r="K69" s="29">
        <v>0</v>
      </c>
      <c r="L69" s="28">
        <v>0</v>
      </c>
      <c r="M69" s="25" t="s">
        <v>85</v>
      </c>
      <c r="N69" s="30">
        <v>46217</v>
      </c>
      <c r="O69" s="26"/>
    </row>
    <row r="70" spans="1:15" ht="57" x14ac:dyDescent="0.25">
      <c r="A70" s="31" t="s">
        <v>214</v>
      </c>
      <c r="B70" s="31" t="s">
        <v>36</v>
      </c>
      <c r="C70" s="32" t="s">
        <v>215</v>
      </c>
      <c r="D70" s="31" t="s">
        <v>83</v>
      </c>
      <c r="E70" s="31"/>
      <c r="F70" s="31" t="s">
        <v>84</v>
      </c>
      <c r="G70" s="33">
        <v>5</v>
      </c>
      <c r="H70" s="33">
        <v>50</v>
      </c>
      <c r="I70" s="33">
        <v>2</v>
      </c>
      <c r="J70" s="34">
        <v>0</v>
      </c>
      <c r="K70" s="35">
        <v>0</v>
      </c>
      <c r="L70" s="34">
        <v>0</v>
      </c>
      <c r="M70" s="31" t="s">
        <v>85</v>
      </c>
      <c r="N70" s="36">
        <v>46217</v>
      </c>
      <c r="O70" s="32"/>
    </row>
    <row r="71" spans="1:15" ht="42.75" x14ac:dyDescent="0.25">
      <c r="A71" s="25" t="s">
        <v>216</v>
      </c>
      <c r="B71" s="25" t="s">
        <v>36</v>
      </c>
      <c r="C71" s="26" t="s">
        <v>217</v>
      </c>
      <c r="D71" s="25" t="s">
        <v>83</v>
      </c>
      <c r="E71" s="25"/>
      <c r="F71" s="25" t="s">
        <v>84</v>
      </c>
      <c r="G71" s="27">
        <v>5</v>
      </c>
      <c r="H71" s="27">
        <v>50</v>
      </c>
      <c r="I71" s="27">
        <v>2</v>
      </c>
      <c r="J71" s="28">
        <v>0</v>
      </c>
      <c r="K71" s="29">
        <v>0</v>
      </c>
      <c r="L71" s="28">
        <v>0</v>
      </c>
      <c r="M71" s="25" t="s">
        <v>85</v>
      </c>
      <c r="N71" s="30">
        <v>46217</v>
      </c>
      <c r="O71" s="26"/>
    </row>
    <row r="72" spans="1:15" ht="57" x14ac:dyDescent="0.25">
      <c r="A72" s="31" t="s">
        <v>218</v>
      </c>
      <c r="B72" s="31" t="s">
        <v>36</v>
      </c>
      <c r="C72" s="32" t="s">
        <v>219</v>
      </c>
      <c r="D72" s="31" t="s">
        <v>83</v>
      </c>
      <c r="E72" s="31"/>
      <c r="F72" s="31" t="s">
        <v>84</v>
      </c>
      <c r="G72" s="33">
        <v>5</v>
      </c>
      <c r="H72" s="33">
        <v>50</v>
      </c>
      <c r="I72" s="33">
        <v>2</v>
      </c>
      <c r="J72" s="34">
        <v>0</v>
      </c>
      <c r="K72" s="35">
        <v>0</v>
      </c>
      <c r="L72" s="34">
        <v>0</v>
      </c>
      <c r="M72" s="31" t="s">
        <v>85</v>
      </c>
      <c r="N72" s="36">
        <v>46217</v>
      </c>
      <c r="O72" s="32"/>
    </row>
    <row r="73" spans="1:15" ht="57" x14ac:dyDescent="0.25">
      <c r="A73" s="25" t="s">
        <v>220</v>
      </c>
      <c r="B73" s="25" t="s">
        <v>36</v>
      </c>
      <c r="C73" s="26" t="s">
        <v>221</v>
      </c>
      <c r="D73" s="25" t="s">
        <v>83</v>
      </c>
      <c r="E73" s="25"/>
      <c r="F73" s="25" t="s">
        <v>84</v>
      </c>
      <c r="G73" s="27">
        <v>5</v>
      </c>
      <c r="H73" s="27">
        <v>50</v>
      </c>
      <c r="I73" s="27">
        <v>2</v>
      </c>
      <c r="J73" s="28">
        <v>0</v>
      </c>
      <c r="K73" s="29">
        <v>0</v>
      </c>
      <c r="L73" s="28">
        <v>0</v>
      </c>
      <c r="M73" s="25" t="s">
        <v>85</v>
      </c>
      <c r="N73" s="30">
        <v>46217</v>
      </c>
      <c r="O73" s="26"/>
    </row>
    <row r="74" spans="1:15" ht="57" x14ac:dyDescent="0.25">
      <c r="A74" s="31" t="s">
        <v>222</v>
      </c>
      <c r="B74" s="31" t="s">
        <v>36</v>
      </c>
      <c r="C74" s="32" t="s">
        <v>223</v>
      </c>
      <c r="D74" s="31" t="s">
        <v>83</v>
      </c>
      <c r="E74" s="31"/>
      <c r="F74" s="31" t="s">
        <v>84</v>
      </c>
      <c r="G74" s="33">
        <v>5</v>
      </c>
      <c r="H74" s="33">
        <v>50</v>
      </c>
      <c r="I74" s="33">
        <v>2</v>
      </c>
      <c r="J74" s="34">
        <v>0</v>
      </c>
      <c r="K74" s="35">
        <v>0</v>
      </c>
      <c r="L74" s="34">
        <v>0</v>
      </c>
      <c r="M74" s="31" t="s">
        <v>85</v>
      </c>
      <c r="N74" s="36">
        <v>46217</v>
      </c>
      <c r="O74" s="32"/>
    </row>
    <row r="75" spans="1:15" ht="42.75" x14ac:dyDescent="0.25">
      <c r="A75" s="25" t="s">
        <v>224</v>
      </c>
      <c r="B75" s="25" t="s">
        <v>36</v>
      </c>
      <c r="C75" s="26" t="s">
        <v>225</v>
      </c>
      <c r="D75" s="25" t="s">
        <v>83</v>
      </c>
      <c r="E75" s="25"/>
      <c r="F75" s="25" t="s">
        <v>84</v>
      </c>
      <c r="G75" s="27">
        <v>5</v>
      </c>
      <c r="H75" s="27">
        <v>50</v>
      </c>
      <c r="I75" s="27">
        <v>2</v>
      </c>
      <c r="J75" s="28">
        <v>0</v>
      </c>
      <c r="K75" s="29">
        <v>0</v>
      </c>
      <c r="L75" s="28">
        <v>0</v>
      </c>
      <c r="M75" s="25" t="s">
        <v>85</v>
      </c>
      <c r="N75" s="30">
        <v>46217</v>
      </c>
      <c r="O75" s="26"/>
    </row>
    <row r="76" spans="1:15" ht="57" x14ac:dyDescent="0.25">
      <c r="A76" s="31" t="s">
        <v>226</v>
      </c>
      <c r="B76" s="31" t="s">
        <v>36</v>
      </c>
      <c r="C76" s="32" t="s">
        <v>227</v>
      </c>
      <c r="D76" s="31" t="s">
        <v>83</v>
      </c>
      <c r="E76" s="31"/>
      <c r="F76" s="31" t="s">
        <v>84</v>
      </c>
      <c r="G76" s="33">
        <v>5</v>
      </c>
      <c r="H76" s="33">
        <v>50</v>
      </c>
      <c r="I76" s="33">
        <v>2</v>
      </c>
      <c r="J76" s="34">
        <v>0</v>
      </c>
      <c r="K76" s="35">
        <v>0</v>
      </c>
      <c r="L76" s="34">
        <v>0</v>
      </c>
      <c r="M76" s="31" t="s">
        <v>85</v>
      </c>
      <c r="N76" s="36">
        <v>46217</v>
      </c>
      <c r="O76" s="32"/>
    </row>
    <row r="77" spans="1:15" ht="42.75" x14ac:dyDescent="0.25">
      <c r="A77" s="25" t="s">
        <v>228</v>
      </c>
      <c r="B77" s="25" t="s">
        <v>36</v>
      </c>
      <c r="C77" s="26" t="s">
        <v>229</v>
      </c>
      <c r="D77" s="25" t="s">
        <v>83</v>
      </c>
      <c r="E77" s="25"/>
      <c r="F77" s="25" t="s">
        <v>84</v>
      </c>
      <c r="G77" s="27">
        <v>5</v>
      </c>
      <c r="H77" s="27">
        <v>50</v>
      </c>
      <c r="I77" s="27">
        <v>2</v>
      </c>
      <c r="J77" s="28">
        <v>0</v>
      </c>
      <c r="K77" s="29">
        <v>0</v>
      </c>
      <c r="L77" s="28">
        <v>0</v>
      </c>
      <c r="M77" s="25" t="s">
        <v>85</v>
      </c>
      <c r="N77" s="30">
        <v>46217</v>
      </c>
      <c r="O77" s="26"/>
    </row>
    <row r="78" spans="1:15" ht="42.75" x14ac:dyDescent="0.25">
      <c r="A78" s="31" t="s">
        <v>230</v>
      </c>
      <c r="B78" s="31" t="s">
        <v>36</v>
      </c>
      <c r="C78" s="32" t="s">
        <v>231</v>
      </c>
      <c r="D78" s="31" t="s">
        <v>83</v>
      </c>
      <c r="E78" s="31"/>
      <c r="F78" s="31" t="s">
        <v>84</v>
      </c>
      <c r="G78" s="33">
        <v>5</v>
      </c>
      <c r="H78" s="33">
        <v>50</v>
      </c>
      <c r="I78" s="33">
        <v>2</v>
      </c>
      <c r="J78" s="34">
        <v>0</v>
      </c>
      <c r="K78" s="35">
        <v>0</v>
      </c>
      <c r="L78" s="34">
        <v>0</v>
      </c>
      <c r="M78" s="31" t="s">
        <v>85</v>
      </c>
      <c r="N78" s="36">
        <v>46217</v>
      </c>
      <c r="O78" s="32"/>
    </row>
    <row r="79" spans="1:15" ht="42.75" x14ac:dyDescent="0.25">
      <c r="A79" s="25" t="s">
        <v>232</v>
      </c>
      <c r="B79" s="25" t="s">
        <v>36</v>
      </c>
      <c r="C79" s="26" t="s">
        <v>233</v>
      </c>
      <c r="D79" s="25" t="s">
        <v>83</v>
      </c>
      <c r="E79" s="25"/>
      <c r="F79" s="25" t="s">
        <v>84</v>
      </c>
      <c r="G79" s="27">
        <v>5</v>
      </c>
      <c r="H79" s="27">
        <v>50</v>
      </c>
      <c r="I79" s="27">
        <v>2</v>
      </c>
      <c r="J79" s="28">
        <v>0</v>
      </c>
      <c r="K79" s="29">
        <v>0</v>
      </c>
      <c r="L79" s="28">
        <v>0</v>
      </c>
      <c r="M79" s="25" t="s">
        <v>85</v>
      </c>
      <c r="N79" s="30">
        <v>46217</v>
      </c>
      <c r="O79" s="26"/>
    </row>
    <row r="80" spans="1:15" ht="42.75" x14ac:dyDescent="0.25">
      <c r="A80" s="31" t="s">
        <v>234</v>
      </c>
      <c r="B80" s="31" t="s">
        <v>36</v>
      </c>
      <c r="C80" s="32" t="s">
        <v>235</v>
      </c>
      <c r="D80" s="31" t="s">
        <v>83</v>
      </c>
      <c r="E80" s="31"/>
      <c r="F80" s="31" t="s">
        <v>84</v>
      </c>
      <c r="G80" s="33">
        <v>5</v>
      </c>
      <c r="H80" s="33">
        <v>50</v>
      </c>
      <c r="I80" s="33">
        <v>2</v>
      </c>
      <c r="J80" s="34">
        <v>0</v>
      </c>
      <c r="K80" s="35">
        <v>0</v>
      </c>
      <c r="L80" s="34">
        <v>0</v>
      </c>
      <c r="M80" s="31" t="s">
        <v>85</v>
      </c>
      <c r="N80" s="36">
        <v>46217</v>
      </c>
      <c r="O80" s="32"/>
    </row>
    <row r="81" spans="1:15" ht="57" x14ac:dyDescent="0.25">
      <c r="A81" s="25" t="s">
        <v>236</v>
      </c>
      <c r="B81" s="25" t="s">
        <v>36</v>
      </c>
      <c r="C81" s="26" t="s">
        <v>237</v>
      </c>
      <c r="D81" s="25" t="s">
        <v>83</v>
      </c>
      <c r="E81" s="25"/>
      <c r="F81" s="25" t="s">
        <v>84</v>
      </c>
      <c r="G81" s="27">
        <v>5</v>
      </c>
      <c r="H81" s="27">
        <v>50</v>
      </c>
      <c r="I81" s="27">
        <v>2</v>
      </c>
      <c r="J81" s="28">
        <v>0</v>
      </c>
      <c r="K81" s="29">
        <v>0</v>
      </c>
      <c r="L81" s="28">
        <v>0</v>
      </c>
      <c r="M81" s="25" t="s">
        <v>85</v>
      </c>
      <c r="N81" s="30">
        <v>46217</v>
      </c>
      <c r="O81" s="26"/>
    </row>
    <row r="82" spans="1:15" ht="42.75" x14ac:dyDescent="0.25">
      <c r="A82" s="31" t="s">
        <v>238</v>
      </c>
      <c r="B82" s="31" t="s">
        <v>36</v>
      </c>
      <c r="C82" s="32" t="s">
        <v>239</v>
      </c>
      <c r="D82" s="31" t="s">
        <v>83</v>
      </c>
      <c r="E82" s="31"/>
      <c r="F82" s="31" t="s">
        <v>84</v>
      </c>
      <c r="G82" s="33">
        <v>5</v>
      </c>
      <c r="H82" s="33">
        <v>50</v>
      </c>
      <c r="I82" s="33">
        <v>2</v>
      </c>
      <c r="J82" s="34">
        <v>0</v>
      </c>
      <c r="K82" s="35">
        <v>0</v>
      </c>
      <c r="L82" s="34">
        <v>0</v>
      </c>
      <c r="M82" s="31" t="s">
        <v>85</v>
      </c>
      <c r="N82" s="36">
        <v>46217</v>
      </c>
      <c r="O82" s="32"/>
    </row>
    <row r="83" spans="1:15" ht="42.75" x14ac:dyDescent="0.25">
      <c r="A83" s="25" t="s">
        <v>240</v>
      </c>
      <c r="B83" s="25" t="s">
        <v>36</v>
      </c>
      <c r="C83" s="26" t="s">
        <v>241</v>
      </c>
      <c r="D83" s="25" t="s">
        <v>83</v>
      </c>
      <c r="E83" s="25"/>
      <c r="F83" s="25" t="s">
        <v>84</v>
      </c>
      <c r="G83" s="27">
        <v>5</v>
      </c>
      <c r="H83" s="27">
        <v>50</v>
      </c>
      <c r="I83" s="27">
        <v>2</v>
      </c>
      <c r="J83" s="28">
        <v>0</v>
      </c>
      <c r="K83" s="29">
        <v>0</v>
      </c>
      <c r="L83" s="28">
        <v>0</v>
      </c>
      <c r="M83" s="25" t="s">
        <v>85</v>
      </c>
      <c r="N83" s="30">
        <v>46217</v>
      </c>
      <c r="O83" s="26"/>
    </row>
    <row r="84" spans="1:15" ht="42.75" x14ac:dyDescent="0.25">
      <c r="A84" s="31" t="s">
        <v>242</v>
      </c>
      <c r="B84" s="31" t="s">
        <v>36</v>
      </c>
      <c r="C84" s="32" t="s">
        <v>243</v>
      </c>
      <c r="D84" s="31" t="s">
        <v>83</v>
      </c>
      <c r="E84" s="31"/>
      <c r="F84" s="31" t="s">
        <v>84</v>
      </c>
      <c r="G84" s="33">
        <v>5</v>
      </c>
      <c r="H84" s="33">
        <v>50</v>
      </c>
      <c r="I84" s="33">
        <v>2</v>
      </c>
      <c r="J84" s="34">
        <v>0</v>
      </c>
      <c r="K84" s="35">
        <v>0</v>
      </c>
      <c r="L84" s="34">
        <v>0</v>
      </c>
      <c r="M84" s="31" t="s">
        <v>85</v>
      </c>
      <c r="N84" s="36">
        <v>46217</v>
      </c>
      <c r="O84" s="32"/>
    </row>
    <row r="85" spans="1:15" ht="42.75" x14ac:dyDescent="0.25">
      <c r="A85" s="25" t="s">
        <v>244</v>
      </c>
      <c r="B85" s="25" t="s">
        <v>36</v>
      </c>
      <c r="C85" s="26" t="s">
        <v>245</v>
      </c>
      <c r="D85" s="25" t="s">
        <v>83</v>
      </c>
      <c r="E85" s="25"/>
      <c r="F85" s="25" t="s">
        <v>84</v>
      </c>
      <c r="G85" s="27">
        <v>5</v>
      </c>
      <c r="H85" s="27">
        <v>50</v>
      </c>
      <c r="I85" s="27">
        <v>2</v>
      </c>
      <c r="J85" s="28">
        <v>0</v>
      </c>
      <c r="K85" s="29">
        <v>0</v>
      </c>
      <c r="L85" s="28">
        <v>0</v>
      </c>
      <c r="M85" s="25" t="s">
        <v>85</v>
      </c>
      <c r="N85" s="30">
        <v>46217</v>
      </c>
      <c r="O85" s="26"/>
    </row>
    <row r="86" spans="1:15" ht="42.75" x14ac:dyDescent="0.25">
      <c r="A86" s="31" t="s">
        <v>246</v>
      </c>
      <c r="B86" s="31" t="s">
        <v>36</v>
      </c>
      <c r="C86" s="32" t="s">
        <v>247</v>
      </c>
      <c r="D86" s="31" t="s">
        <v>83</v>
      </c>
      <c r="E86" s="31"/>
      <c r="F86" s="31" t="s">
        <v>84</v>
      </c>
      <c r="G86" s="33">
        <v>5</v>
      </c>
      <c r="H86" s="33">
        <v>50</v>
      </c>
      <c r="I86" s="33">
        <v>2</v>
      </c>
      <c r="J86" s="34">
        <v>0</v>
      </c>
      <c r="K86" s="35">
        <v>0</v>
      </c>
      <c r="L86" s="34">
        <v>0</v>
      </c>
      <c r="M86" s="31" t="s">
        <v>85</v>
      </c>
      <c r="N86" s="36">
        <v>46217</v>
      </c>
      <c r="O86" s="32"/>
    </row>
    <row r="87" spans="1:15" ht="42.75" x14ac:dyDescent="0.25">
      <c r="A87" s="25" t="s">
        <v>248</v>
      </c>
      <c r="B87" s="25" t="s">
        <v>36</v>
      </c>
      <c r="C87" s="26" t="s">
        <v>249</v>
      </c>
      <c r="D87" s="25" t="s">
        <v>83</v>
      </c>
      <c r="E87" s="25"/>
      <c r="F87" s="25" t="s">
        <v>84</v>
      </c>
      <c r="G87" s="27">
        <v>5</v>
      </c>
      <c r="H87" s="27">
        <v>50</v>
      </c>
      <c r="I87" s="27">
        <v>2</v>
      </c>
      <c r="J87" s="28">
        <v>0</v>
      </c>
      <c r="K87" s="29">
        <v>0</v>
      </c>
      <c r="L87" s="28">
        <v>0</v>
      </c>
      <c r="M87" s="25" t="s">
        <v>85</v>
      </c>
      <c r="N87" s="30">
        <v>46217</v>
      </c>
      <c r="O87" s="26"/>
    </row>
    <row r="88" spans="1:15" ht="42.75" x14ac:dyDescent="0.25">
      <c r="A88" s="31" t="s">
        <v>250</v>
      </c>
      <c r="B88" s="31" t="s">
        <v>36</v>
      </c>
      <c r="C88" s="32" t="s">
        <v>251</v>
      </c>
      <c r="D88" s="31" t="s">
        <v>83</v>
      </c>
      <c r="E88" s="31"/>
      <c r="F88" s="31" t="s">
        <v>84</v>
      </c>
      <c r="G88" s="33">
        <v>5</v>
      </c>
      <c r="H88" s="33">
        <v>50</v>
      </c>
      <c r="I88" s="33">
        <v>2</v>
      </c>
      <c r="J88" s="34">
        <v>0</v>
      </c>
      <c r="K88" s="35">
        <v>0</v>
      </c>
      <c r="L88" s="34">
        <v>0</v>
      </c>
      <c r="M88" s="31" t="s">
        <v>85</v>
      </c>
      <c r="N88" s="36">
        <v>46217</v>
      </c>
      <c r="O88" s="32"/>
    </row>
    <row r="89" spans="1:15" ht="42.75" x14ac:dyDescent="0.25">
      <c r="A89" s="25" t="s">
        <v>252</v>
      </c>
      <c r="B89" s="25" t="s">
        <v>36</v>
      </c>
      <c r="C89" s="26" t="s">
        <v>253</v>
      </c>
      <c r="D89" s="25" t="s">
        <v>83</v>
      </c>
      <c r="E89" s="25"/>
      <c r="F89" s="25" t="s">
        <v>84</v>
      </c>
      <c r="G89" s="27">
        <v>5</v>
      </c>
      <c r="H89" s="27">
        <v>50</v>
      </c>
      <c r="I89" s="27">
        <v>2</v>
      </c>
      <c r="J89" s="28">
        <v>0</v>
      </c>
      <c r="K89" s="29">
        <v>0</v>
      </c>
      <c r="L89" s="28">
        <v>0</v>
      </c>
      <c r="M89" s="25" t="s">
        <v>85</v>
      </c>
      <c r="N89" s="30">
        <v>46217</v>
      </c>
      <c r="O89" s="26"/>
    </row>
    <row r="90" spans="1:15" ht="57" x14ac:dyDescent="0.25">
      <c r="A90" s="31" t="s">
        <v>254</v>
      </c>
      <c r="B90" s="31" t="s">
        <v>36</v>
      </c>
      <c r="C90" s="32" t="s">
        <v>255</v>
      </c>
      <c r="D90" s="31" t="s">
        <v>83</v>
      </c>
      <c r="E90" s="31"/>
      <c r="F90" s="31" t="s">
        <v>84</v>
      </c>
      <c r="G90" s="33">
        <v>5</v>
      </c>
      <c r="H90" s="33">
        <v>50</v>
      </c>
      <c r="I90" s="33">
        <v>2</v>
      </c>
      <c r="J90" s="34">
        <v>0</v>
      </c>
      <c r="K90" s="35">
        <v>0</v>
      </c>
      <c r="L90" s="34">
        <v>0</v>
      </c>
      <c r="M90" s="31" t="s">
        <v>85</v>
      </c>
      <c r="N90" s="36">
        <v>46217</v>
      </c>
      <c r="O90" s="32"/>
    </row>
    <row r="91" spans="1:15" ht="42.75" x14ac:dyDescent="0.25">
      <c r="A91" s="25" t="s">
        <v>256</v>
      </c>
      <c r="B91" s="25" t="s">
        <v>36</v>
      </c>
      <c r="C91" s="26" t="s">
        <v>257</v>
      </c>
      <c r="D91" s="25" t="s">
        <v>83</v>
      </c>
      <c r="E91" s="25"/>
      <c r="F91" s="25" t="s">
        <v>84</v>
      </c>
      <c r="G91" s="27">
        <v>5</v>
      </c>
      <c r="H91" s="27">
        <v>50</v>
      </c>
      <c r="I91" s="27">
        <v>2</v>
      </c>
      <c r="J91" s="28">
        <v>0</v>
      </c>
      <c r="K91" s="29">
        <v>0</v>
      </c>
      <c r="L91" s="28">
        <v>0</v>
      </c>
      <c r="M91" s="25" t="s">
        <v>85</v>
      </c>
      <c r="N91" s="30">
        <v>46217</v>
      </c>
      <c r="O91" s="26"/>
    </row>
    <row r="92" spans="1:15" ht="28.5" x14ac:dyDescent="0.25">
      <c r="A92" s="31" t="s">
        <v>258</v>
      </c>
      <c r="B92" s="31" t="s">
        <v>36</v>
      </c>
      <c r="C92" s="32" t="s">
        <v>259</v>
      </c>
      <c r="D92" s="31" t="s">
        <v>83</v>
      </c>
      <c r="E92" s="31"/>
      <c r="F92" s="31" t="s">
        <v>84</v>
      </c>
      <c r="G92" s="33">
        <v>5</v>
      </c>
      <c r="H92" s="33">
        <v>50</v>
      </c>
      <c r="I92" s="33">
        <v>2</v>
      </c>
      <c r="J92" s="34">
        <v>0</v>
      </c>
      <c r="K92" s="35">
        <v>0</v>
      </c>
      <c r="L92" s="34">
        <v>0</v>
      </c>
      <c r="M92" s="31" t="s">
        <v>85</v>
      </c>
      <c r="N92" s="36">
        <v>46217</v>
      </c>
      <c r="O92" s="32"/>
    </row>
    <row r="93" spans="1:15" ht="28.5" x14ac:dyDescent="0.25">
      <c r="A93" s="25" t="s">
        <v>260</v>
      </c>
      <c r="B93" s="25" t="s">
        <v>36</v>
      </c>
      <c r="C93" s="26" t="s">
        <v>261</v>
      </c>
      <c r="D93" s="25" t="s">
        <v>83</v>
      </c>
      <c r="E93" s="25"/>
      <c r="F93" s="25" t="s">
        <v>84</v>
      </c>
      <c r="G93" s="27">
        <v>5</v>
      </c>
      <c r="H93" s="27">
        <v>50</v>
      </c>
      <c r="I93" s="27">
        <v>2</v>
      </c>
      <c r="J93" s="28">
        <v>0</v>
      </c>
      <c r="K93" s="29">
        <v>0</v>
      </c>
      <c r="L93" s="28">
        <v>0</v>
      </c>
      <c r="M93" s="25" t="s">
        <v>85</v>
      </c>
      <c r="N93" s="30">
        <v>46217</v>
      </c>
      <c r="O93" s="26"/>
    </row>
    <row r="94" spans="1:15" ht="42.75" x14ac:dyDescent="0.25">
      <c r="A94" s="31" t="s">
        <v>262</v>
      </c>
      <c r="B94" s="31" t="s">
        <v>36</v>
      </c>
      <c r="C94" s="32" t="s">
        <v>263</v>
      </c>
      <c r="D94" s="31" t="s">
        <v>83</v>
      </c>
      <c r="E94" s="31"/>
      <c r="F94" s="31" t="s">
        <v>84</v>
      </c>
      <c r="G94" s="33">
        <v>5</v>
      </c>
      <c r="H94" s="33">
        <v>50</v>
      </c>
      <c r="I94" s="33">
        <v>2</v>
      </c>
      <c r="J94" s="34">
        <v>0</v>
      </c>
      <c r="K94" s="35">
        <v>0</v>
      </c>
      <c r="L94" s="34">
        <v>0</v>
      </c>
      <c r="M94" s="31" t="s">
        <v>85</v>
      </c>
      <c r="N94" s="36">
        <v>46217</v>
      </c>
      <c r="O94" s="32"/>
    </row>
    <row r="95" spans="1:15" ht="28.5" x14ac:dyDescent="0.25">
      <c r="A95" s="25" t="s">
        <v>264</v>
      </c>
      <c r="B95" s="25" t="s">
        <v>36</v>
      </c>
      <c r="C95" s="26" t="s">
        <v>265</v>
      </c>
      <c r="D95" s="25" t="s">
        <v>83</v>
      </c>
      <c r="E95" s="25"/>
      <c r="F95" s="25" t="s">
        <v>84</v>
      </c>
      <c r="G95" s="27">
        <v>5</v>
      </c>
      <c r="H95" s="27">
        <v>50</v>
      </c>
      <c r="I95" s="27">
        <v>2</v>
      </c>
      <c r="J95" s="28">
        <v>0</v>
      </c>
      <c r="K95" s="29">
        <v>0</v>
      </c>
      <c r="L95" s="28">
        <v>0</v>
      </c>
      <c r="M95" s="25" t="s">
        <v>85</v>
      </c>
      <c r="N95" s="30">
        <v>46217</v>
      </c>
      <c r="O95" s="26"/>
    </row>
    <row r="96" spans="1:15" ht="42.75" x14ac:dyDescent="0.25">
      <c r="A96" s="31" t="s">
        <v>266</v>
      </c>
      <c r="B96" s="31" t="s">
        <v>36</v>
      </c>
      <c r="C96" s="32" t="s">
        <v>267</v>
      </c>
      <c r="D96" s="31" t="s">
        <v>83</v>
      </c>
      <c r="E96" s="31"/>
      <c r="F96" s="31" t="s">
        <v>84</v>
      </c>
      <c r="G96" s="33">
        <v>5</v>
      </c>
      <c r="H96" s="33">
        <v>50</v>
      </c>
      <c r="I96" s="33">
        <v>2</v>
      </c>
      <c r="J96" s="34">
        <v>0</v>
      </c>
      <c r="K96" s="35">
        <v>0</v>
      </c>
      <c r="L96" s="34">
        <v>0</v>
      </c>
      <c r="M96" s="31" t="s">
        <v>85</v>
      </c>
      <c r="N96" s="36">
        <v>46217</v>
      </c>
      <c r="O96" s="32"/>
    </row>
    <row r="97" spans="1:15" ht="42.75" x14ac:dyDescent="0.25">
      <c r="A97" s="25" t="s">
        <v>268</v>
      </c>
      <c r="B97" s="25" t="s">
        <v>36</v>
      </c>
      <c r="C97" s="26" t="s">
        <v>269</v>
      </c>
      <c r="D97" s="25" t="s">
        <v>83</v>
      </c>
      <c r="E97" s="25"/>
      <c r="F97" s="25" t="s">
        <v>84</v>
      </c>
      <c r="G97" s="27">
        <v>5</v>
      </c>
      <c r="H97" s="27">
        <v>50</v>
      </c>
      <c r="I97" s="27">
        <v>2</v>
      </c>
      <c r="J97" s="28">
        <v>0</v>
      </c>
      <c r="K97" s="29">
        <v>0</v>
      </c>
      <c r="L97" s="28">
        <v>0</v>
      </c>
      <c r="M97" s="25" t="s">
        <v>85</v>
      </c>
      <c r="N97" s="30">
        <v>46217</v>
      </c>
      <c r="O97" s="26"/>
    </row>
    <row r="98" spans="1:15" ht="57" x14ac:dyDescent="0.25">
      <c r="A98" s="31" t="s">
        <v>270</v>
      </c>
      <c r="B98" s="31" t="s">
        <v>36</v>
      </c>
      <c r="C98" s="32" t="s">
        <v>271</v>
      </c>
      <c r="D98" s="31" t="s">
        <v>83</v>
      </c>
      <c r="E98" s="31"/>
      <c r="F98" s="31" t="s">
        <v>84</v>
      </c>
      <c r="G98" s="33">
        <v>5</v>
      </c>
      <c r="H98" s="33">
        <v>50</v>
      </c>
      <c r="I98" s="33">
        <v>2</v>
      </c>
      <c r="J98" s="34">
        <v>0</v>
      </c>
      <c r="K98" s="35">
        <v>0</v>
      </c>
      <c r="L98" s="34">
        <v>0</v>
      </c>
      <c r="M98" s="31" t="s">
        <v>85</v>
      </c>
      <c r="N98" s="36">
        <v>46217</v>
      </c>
      <c r="O98" s="32"/>
    </row>
    <row r="99" spans="1:15" ht="57" x14ac:dyDescent="0.25">
      <c r="A99" s="25" t="s">
        <v>272</v>
      </c>
      <c r="B99" s="25" t="s">
        <v>36</v>
      </c>
      <c r="C99" s="26" t="s">
        <v>273</v>
      </c>
      <c r="D99" s="25" t="s">
        <v>83</v>
      </c>
      <c r="E99" s="25"/>
      <c r="F99" s="25" t="s">
        <v>84</v>
      </c>
      <c r="G99" s="27">
        <v>5</v>
      </c>
      <c r="H99" s="27">
        <v>50</v>
      </c>
      <c r="I99" s="27">
        <v>2</v>
      </c>
      <c r="J99" s="28">
        <v>0</v>
      </c>
      <c r="K99" s="29">
        <v>0</v>
      </c>
      <c r="L99" s="28">
        <v>0</v>
      </c>
      <c r="M99" s="25" t="s">
        <v>85</v>
      </c>
      <c r="N99" s="30">
        <v>46217</v>
      </c>
      <c r="O99" s="26"/>
    </row>
    <row r="100" spans="1:15" ht="42.75" x14ac:dyDescent="0.25">
      <c r="A100" s="31" t="s">
        <v>274</v>
      </c>
      <c r="B100" s="31" t="s">
        <v>36</v>
      </c>
      <c r="C100" s="32" t="s">
        <v>275</v>
      </c>
      <c r="D100" s="31" t="s">
        <v>83</v>
      </c>
      <c r="E100" s="31"/>
      <c r="F100" s="31" t="s">
        <v>84</v>
      </c>
      <c r="G100" s="33">
        <v>5</v>
      </c>
      <c r="H100" s="33">
        <v>50</v>
      </c>
      <c r="I100" s="33">
        <v>2</v>
      </c>
      <c r="J100" s="34">
        <v>0</v>
      </c>
      <c r="K100" s="35">
        <v>0</v>
      </c>
      <c r="L100" s="34">
        <v>0</v>
      </c>
      <c r="M100" s="31" t="s">
        <v>85</v>
      </c>
      <c r="N100" s="36">
        <v>46217</v>
      </c>
      <c r="O100" s="32"/>
    </row>
    <row r="101" spans="1:15" ht="42.75" x14ac:dyDescent="0.25">
      <c r="A101" s="25" t="s">
        <v>276</v>
      </c>
      <c r="B101" s="25" t="s">
        <v>36</v>
      </c>
      <c r="C101" s="26" t="s">
        <v>277</v>
      </c>
      <c r="D101" s="25" t="s">
        <v>83</v>
      </c>
      <c r="E101" s="25"/>
      <c r="F101" s="25" t="s">
        <v>84</v>
      </c>
      <c r="G101" s="27">
        <v>5</v>
      </c>
      <c r="H101" s="27">
        <v>50</v>
      </c>
      <c r="I101" s="27">
        <v>2</v>
      </c>
      <c r="J101" s="28">
        <v>0</v>
      </c>
      <c r="K101" s="29">
        <v>0</v>
      </c>
      <c r="L101" s="28">
        <v>0</v>
      </c>
      <c r="M101" s="25" t="s">
        <v>85</v>
      </c>
      <c r="N101" s="30">
        <v>46217</v>
      </c>
      <c r="O101" s="26"/>
    </row>
    <row r="102" spans="1:15" ht="42.75" x14ac:dyDescent="0.25">
      <c r="A102" s="31" t="s">
        <v>278</v>
      </c>
      <c r="B102" s="31" t="s">
        <v>36</v>
      </c>
      <c r="C102" s="32" t="s">
        <v>279</v>
      </c>
      <c r="D102" s="31" t="s">
        <v>83</v>
      </c>
      <c r="E102" s="31"/>
      <c r="F102" s="31" t="s">
        <v>84</v>
      </c>
      <c r="G102" s="33">
        <v>5</v>
      </c>
      <c r="H102" s="33">
        <v>50</v>
      </c>
      <c r="I102" s="33">
        <v>2</v>
      </c>
      <c r="J102" s="34">
        <v>0</v>
      </c>
      <c r="K102" s="35">
        <v>0</v>
      </c>
      <c r="L102" s="34">
        <v>0</v>
      </c>
      <c r="M102" s="31" t="s">
        <v>85</v>
      </c>
      <c r="N102" s="36">
        <v>46217</v>
      </c>
      <c r="O102" s="32"/>
    </row>
    <row r="103" spans="1:15" ht="57" x14ac:dyDescent="0.25">
      <c r="A103" s="25" t="s">
        <v>280</v>
      </c>
      <c r="B103" s="25" t="s">
        <v>36</v>
      </c>
      <c r="C103" s="26" t="s">
        <v>281</v>
      </c>
      <c r="D103" s="25" t="s">
        <v>83</v>
      </c>
      <c r="E103" s="25"/>
      <c r="F103" s="25" t="s">
        <v>84</v>
      </c>
      <c r="G103" s="27">
        <v>5</v>
      </c>
      <c r="H103" s="27">
        <v>50</v>
      </c>
      <c r="I103" s="27">
        <v>2</v>
      </c>
      <c r="J103" s="28">
        <v>0</v>
      </c>
      <c r="K103" s="29">
        <v>0</v>
      </c>
      <c r="L103" s="28">
        <v>0</v>
      </c>
      <c r="M103" s="25" t="s">
        <v>85</v>
      </c>
      <c r="N103" s="30">
        <v>46217</v>
      </c>
      <c r="O103" s="26"/>
    </row>
    <row r="104" spans="1:15" ht="57" x14ac:dyDescent="0.25">
      <c r="A104" s="31" t="s">
        <v>282</v>
      </c>
      <c r="B104" s="31" t="s">
        <v>36</v>
      </c>
      <c r="C104" s="32" t="s">
        <v>283</v>
      </c>
      <c r="D104" s="31" t="s">
        <v>83</v>
      </c>
      <c r="E104" s="31"/>
      <c r="F104" s="31" t="s">
        <v>84</v>
      </c>
      <c r="G104" s="33">
        <v>5</v>
      </c>
      <c r="H104" s="33">
        <v>50</v>
      </c>
      <c r="I104" s="33">
        <v>2</v>
      </c>
      <c r="J104" s="34">
        <v>0</v>
      </c>
      <c r="K104" s="35">
        <v>6</v>
      </c>
      <c r="L104" s="34">
        <v>0</v>
      </c>
      <c r="M104" s="31" t="s">
        <v>85</v>
      </c>
      <c r="N104" s="36">
        <v>46217</v>
      </c>
      <c r="O104" s="32"/>
    </row>
    <row r="105" spans="1:15" ht="57" x14ac:dyDescent="0.25">
      <c r="A105" s="25" t="s">
        <v>284</v>
      </c>
      <c r="B105" s="25" t="s">
        <v>36</v>
      </c>
      <c r="C105" s="26" t="s">
        <v>285</v>
      </c>
      <c r="D105" s="25" t="s">
        <v>83</v>
      </c>
      <c r="E105" s="25"/>
      <c r="F105" s="25" t="s">
        <v>84</v>
      </c>
      <c r="G105" s="27">
        <v>5</v>
      </c>
      <c r="H105" s="27">
        <v>50</v>
      </c>
      <c r="I105" s="27">
        <v>2</v>
      </c>
      <c r="J105" s="28">
        <v>0</v>
      </c>
      <c r="K105" s="29">
        <v>0</v>
      </c>
      <c r="L105" s="28">
        <v>0</v>
      </c>
      <c r="M105" s="25" t="s">
        <v>85</v>
      </c>
      <c r="N105" s="30">
        <v>46217</v>
      </c>
      <c r="O105" s="26"/>
    </row>
    <row r="106" spans="1:15" ht="42.75" x14ac:dyDescent="0.25">
      <c r="A106" s="31" t="s">
        <v>286</v>
      </c>
      <c r="B106" s="31" t="s">
        <v>36</v>
      </c>
      <c r="C106" s="32" t="s">
        <v>287</v>
      </c>
      <c r="D106" s="31" t="s">
        <v>83</v>
      </c>
      <c r="E106" s="31"/>
      <c r="F106" s="31" t="s">
        <v>84</v>
      </c>
      <c r="G106" s="33">
        <v>5</v>
      </c>
      <c r="H106" s="33">
        <v>50</v>
      </c>
      <c r="I106" s="33">
        <v>2</v>
      </c>
      <c r="J106" s="34">
        <v>0</v>
      </c>
      <c r="K106" s="35">
        <v>0</v>
      </c>
      <c r="L106" s="34">
        <v>0</v>
      </c>
      <c r="M106" s="31" t="s">
        <v>85</v>
      </c>
      <c r="N106" s="36">
        <v>46217</v>
      </c>
      <c r="O106" s="32"/>
    </row>
    <row r="107" spans="1:15" ht="28.5" x14ac:dyDescent="0.25">
      <c r="A107" s="25" t="s">
        <v>288</v>
      </c>
      <c r="B107" s="25" t="s">
        <v>36</v>
      </c>
      <c r="C107" s="26" t="s">
        <v>289</v>
      </c>
      <c r="D107" s="25" t="s">
        <v>83</v>
      </c>
      <c r="E107" s="25"/>
      <c r="F107" s="25" t="s">
        <v>84</v>
      </c>
      <c r="G107" s="27">
        <v>5</v>
      </c>
      <c r="H107" s="27">
        <v>50</v>
      </c>
      <c r="I107" s="27">
        <v>2</v>
      </c>
      <c r="J107" s="28">
        <v>0</v>
      </c>
      <c r="K107" s="29">
        <v>0</v>
      </c>
      <c r="L107" s="28">
        <v>0</v>
      </c>
      <c r="M107" s="25" t="s">
        <v>85</v>
      </c>
      <c r="N107" s="30">
        <v>46217</v>
      </c>
      <c r="O107" s="26"/>
    </row>
    <row r="108" spans="1:15" ht="42.75" x14ac:dyDescent="0.25">
      <c r="A108" s="31" t="s">
        <v>290</v>
      </c>
      <c r="B108" s="31" t="s">
        <v>36</v>
      </c>
      <c r="C108" s="32" t="s">
        <v>291</v>
      </c>
      <c r="D108" s="31" t="s">
        <v>83</v>
      </c>
      <c r="E108" s="31"/>
      <c r="F108" s="31" t="s">
        <v>84</v>
      </c>
      <c r="G108" s="33">
        <v>5</v>
      </c>
      <c r="H108" s="33">
        <v>50</v>
      </c>
      <c r="I108" s="33">
        <v>2</v>
      </c>
      <c r="J108" s="34">
        <v>0</v>
      </c>
      <c r="K108" s="35">
        <v>0</v>
      </c>
      <c r="L108" s="34">
        <v>0</v>
      </c>
      <c r="M108" s="31" t="s">
        <v>85</v>
      </c>
      <c r="N108" s="36">
        <v>46217</v>
      </c>
      <c r="O108" s="32"/>
    </row>
    <row r="109" spans="1:15" ht="28.5" x14ac:dyDescent="0.25">
      <c r="A109" s="25" t="s">
        <v>292</v>
      </c>
      <c r="B109" s="25" t="s">
        <v>36</v>
      </c>
      <c r="C109" s="26" t="s">
        <v>293</v>
      </c>
      <c r="D109" s="25" t="s">
        <v>83</v>
      </c>
      <c r="E109" s="25"/>
      <c r="F109" s="25" t="s">
        <v>84</v>
      </c>
      <c r="G109" s="27">
        <v>5</v>
      </c>
      <c r="H109" s="27">
        <v>50</v>
      </c>
      <c r="I109" s="27">
        <v>2</v>
      </c>
      <c r="J109" s="28">
        <v>0</v>
      </c>
      <c r="K109" s="29">
        <v>0</v>
      </c>
      <c r="L109" s="28">
        <v>0</v>
      </c>
      <c r="M109" s="25" t="s">
        <v>85</v>
      </c>
      <c r="N109" s="30">
        <v>46217</v>
      </c>
      <c r="O109" s="26"/>
    </row>
    <row r="110" spans="1:15" x14ac:dyDescent="0.25">
      <c r="A110" s="31" t="s">
        <v>294</v>
      </c>
      <c r="B110" s="31" t="s">
        <v>36</v>
      </c>
      <c r="C110" s="32" t="s">
        <v>295</v>
      </c>
      <c r="D110" s="31" t="s">
        <v>83</v>
      </c>
      <c r="E110" s="31"/>
      <c r="F110" s="31" t="s">
        <v>84</v>
      </c>
      <c r="G110" s="33">
        <v>5</v>
      </c>
      <c r="H110" s="33">
        <v>50</v>
      </c>
      <c r="I110" s="33">
        <v>2</v>
      </c>
      <c r="J110" s="34">
        <v>0</v>
      </c>
      <c r="K110" s="35">
        <v>0</v>
      </c>
      <c r="L110" s="34">
        <v>0</v>
      </c>
      <c r="M110" s="31" t="s">
        <v>85</v>
      </c>
      <c r="N110" s="36">
        <v>46217</v>
      </c>
      <c r="O110" s="32"/>
    </row>
    <row r="111" spans="1:15" ht="28.5" x14ac:dyDescent="0.25">
      <c r="A111" s="25" t="s">
        <v>296</v>
      </c>
      <c r="B111" s="25" t="s">
        <v>36</v>
      </c>
      <c r="C111" s="26" t="s">
        <v>297</v>
      </c>
      <c r="D111" s="25" t="s">
        <v>83</v>
      </c>
      <c r="E111" s="25"/>
      <c r="F111" s="25" t="s">
        <v>84</v>
      </c>
      <c r="G111" s="27">
        <v>5</v>
      </c>
      <c r="H111" s="27">
        <v>50</v>
      </c>
      <c r="I111" s="27">
        <v>2</v>
      </c>
      <c r="J111" s="28">
        <v>0</v>
      </c>
      <c r="K111" s="29">
        <v>0</v>
      </c>
      <c r="L111" s="28">
        <v>0</v>
      </c>
      <c r="M111" s="25" t="s">
        <v>85</v>
      </c>
      <c r="N111" s="30">
        <v>46217</v>
      </c>
      <c r="O111" s="26"/>
    </row>
    <row r="112" spans="1:15" ht="28.5" x14ac:dyDescent="0.25">
      <c r="A112" s="31" t="s">
        <v>298</v>
      </c>
      <c r="B112" s="31" t="s">
        <v>36</v>
      </c>
      <c r="C112" s="32" t="s">
        <v>299</v>
      </c>
      <c r="D112" s="31" t="s">
        <v>83</v>
      </c>
      <c r="E112" s="31"/>
      <c r="F112" s="31" t="s">
        <v>84</v>
      </c>
      <c r="G112" s="33">
        <v>5</v>
      </c>
      <c r="H112" s="33">
        <v>50</v>
      </c>
      <c r="I112" s="33">
        <v>2</v>
      </c>
      <c r="J112" s="34">
        <v>0</v>
      </c>
      <c r="K112" s="35">
        <v>0</v>
      </c>
      <c r="L112" s="34">
        <v>0</v>
      </c>
      <c r="M112" s="31" t="s">
        <v>85</v>
      </c>
      <c r="N112" s="36">
        <v>46217</v>
      </c>
      <c r="O112" s="32"/>
    </row>
    <row r="113" spans="1:15" ht="28.5" x14ac:dyDescent="0.25">
      <c r="A113" s="25" t="s">
        <v>300</v>
      </c>
      <c r="B113" s="25" t="s">
        <v>36</v>
      </c>
      <c r="C113" s="26" t="s">
        <v>301</v>
      </c>
      <c r="D113" s="25" t="s">
        <v>83</v>
      </c>
      <c r="E113" s="25"/>
      <c r="F113" s="25" t="s">
        <v>84</v>
      </c>
      <c r="G113" s="27">
        <v>5</v>
      </c>
      <c r="H113" s="27">
        <v>50</v>
      </c>
      <c r="I113" s="27">
        <v>2</v>
      </c>
      <c r="J113" s="28">
        <v>0</v>
      </c>
      <c r="K113" s="29">
        <v>0</v>
      </c>
      <c r="L113" s="28">
        <v>0</v>
      </c>
      <c r="M113" s="25" t="s">
        <v>85</v>
      </c>
      <c r="N113" s="30">
        <v>46217</v>
      </c>
      <c r="O113" s="26"/>
    </row>
    <row r="114" spans="1:15" ht="28.5" x14ac:dyDescent="0.25">
      <c r="A114" s="31" t="s">
        <v>302</v>
      </c>
      <c r="B114" s="31" t="s">
        <v>36</v>
      </c>
      <c r="C114" s="32" t="s">
        <v>303</v>
      </c>
      <c r="D114" s="31" t="s">
        <v>83</v>
      </c>
      <c r="E114" s="31"/>
      <c r="F114" s="31" t="s">
        <v>84</v>
      </c>
      <c r="G114" s="33">
        <v>5</v>
      </c>
      <c r="H114" s="33">
        <v>50</v>
      </c>
      <c r="I114" s="33">
        <v>2</v>
      </c>
      <c r="J114" s="34">
        <v>0</v>
      </c>
      <c r="K114" s="35">
        <v>0</v>
      </c>
      <c r="L114" s="34">
        <v>0</v>
      </c>
      <c r="M114" s="31" t="s">
        <v>85</v>
      </c>
      <c r="N114" s="36">
        <v>46217</v>
      </c>
      <c r="O114" s="32"/>
    </row>
    <row r="115" spans="1:15" ht="28.5" x14ac:dyDescent="0.25">
      <c r="A115" s="25" t="s">
        <v>304</v>
      </c>
      <c r="B115" s="25" t="s">
        <v>36</v>
      </c>
      <c r="C115" s="26" t="s">
        <v>305</v>
      </c>
      <c r="D115" s="25" t="s">
        <v>83</v>
      </c>
      <c r="E115" s="25"/>
      <c r="F115" s="25" t="s">
        <v>84</v>
      </c>
      <c r="G115" s="27">
        <v>5</v>
      </c>
      <c r="H115" s="27">
        <v>50</v>
      </c>
      <c r="I115" s="27">
        <v>2</v>
      </c>
      <c r="J115" s="28">
        <v>0</v>
      </c>
      <c r="K115" s="29">
        <v>0</v>
      </c>
      <c r="L115" s="28">
        <v>0</v>
      </c>
      <c r="M115" s="25" t="s">
        <v>85</v>
      </c>
      <c r="N115" s="30">
        <v>46217</v>
      </c>
      <c r="O115" s="26"/>
    </row>
    <row r="116" spans="1:15" ht="42.75" x14ac:dyDescent="0.25">
      <c r="A116" s="31" t="s">
        <v>306</v>
      </c>
      <c r="B116" s="31" t="s">
        <v>36</v>
      </c>
      <c r="C116" s="32" t="s">
        <v>307</v>
      </c>
      <c r="D116" s="31" t="s">
        <v>83</v>
      </c>
      <c r="E116" s="31"/>
      <c r="F116" s="31" t="s">
        <v>84</v>
      </c>
      <c r="G116" s="33">
        <v>5</v>
      </c>
      <c r="H116" s="33">
        <v>50</v>
      </c>
      <c r="I116" s="33">
        <v>2</v>
      </c>
      <c r="J116" s="34">
        <v>0</v>
      </c>
      <c r="K116" s="35">
        <v>0</v>
      </c>
      <c r="L116" s="34">
        <v>0</v>
      </c>
      <c r="M116" s="31" t="s">
        <v>85</v>
      </c>
      <c r="N116" s="36">
        <v>46217</v>
      </c>
      <c r="O116" s="32"/>
    </row>
    <row r="117" spans="1:15" ht="28.5" x14ac:dyDescent="0.25">
      <c r="A117" s="25" t="s">
        <v>308</v>
      </c>
      <c r="B117" s="25" t="s">
        <v>36</v>
      </c>
      <c r="C117" s="26" t="s">
        <v>309</v>
      </c>
      <c r="D117" s="25" t="s">
        <v>83</v>
      </c>
      <c r="E117" s="25"/>
      <c r="F117" s="25" t="s">
        <v>84</v>
      </c>
      <c r="G117" s="27">
        <v>5</v>
      </c>
      <c r="H117" s="27">
        <v>50</v>
      </c>
      <c r="I117" s="27">
        <v>2</v>
      </c>
      <c r="J117" s="28">
        <v>0</v>
      </c>
      <c r="K117" s="29">
        <v>0</v>
      </c>
      <c r="L117" s="28">
        <v>0</v>
      </c>
      <c r="M117" s="25" t="s">
        <v>85</v>
      </c>
      <c r="N117" s="30">
        <v>46217</v>
      </c>
      <c r="O117" s="26"/>
    </row>
    <row r="118" spans="1:15" ht="57" x14ac:dyDescent="0.25">
      <c r="A118" s="31" t="s">
        <v>310</v>
      </c>
      <c r="B118" s="31" t="s">
        <v>36</v>
      </c>
      <c r="C118" s="32" t="s">
        <v>311</v>
      </c>
      <c r="D118" s="31" t="s">
        <v>83</v>
      </c>
      <c r="E118" s="31"/>
      <c r="F118" s="31" t="s">
        <v>84</v>
      </c>
      <c r="G118" s="33">
        <v>5</v>
      </c>
      <c r="H118" s="33">
        <v>50</v>
      </c>
      <c r="I118" s="33">
        <v>2</v>
      </c>
      <c r="J118" s="34">
        <v>0</v>
      </c>
      <c r="K118" s="35">
        <v>0</v>
      </c>
      <c r="L118" s="34">
        <v>0</v>
      </c>
      <c r="M118" s="31" t="s">
        <v>85</v>
      </c>
      <c r="N118" s="36">
        <v>46217</v>
      </c>
      <c r="O118" s="32"/>
    </row>
    <row r="119" spans="1:15" ht="57" x14ac:dyDescent="0.25">
      <c r="A119" s="25" t="s">
        <v>312</v>
      </c>
      <c r="B119" s="25" t="s">
        <v>36</v>
      </c>
      <c r="C119" s="26" t="s">
        <v>313</v>
      </c>
      <c r="D119" s="25" t="s">
        <v>83</v>
      </c>
      <c r="E119" s="25"/>
      <c r="F119" s="25" t="s">
        <v>84</v>
      </c>
      <c r="G119" s="27">
        <v>5</v>
      </c>
      <c r="H119" s="27">
        <v>50</v>
      </c>
      <c r="I119" s="27">
        <v>2</v>
      </c>
      <c r="J119" s="28">
        <v>0</v>
      </c>
      <c r="K119" s="29">
        <v>0</v>
      </c>
      <c r="L119" s="28">
        <v>0</v>
      </c>
      <c r="M119" s="25" t="s">
        <v>85</v>
      </c>
      <c r="N119" s="30">
        <v>46217</v>
      </c>
      <c r="O119" s="26"/>
    </row>
    <row r="120" spans="1:15" ht="42.75" x14ac:dyDescent="0.25">
      <c r="A120" s="31" t="s">
        <v>314</v>
      </c>
      <c r="B120" s="31" t="s">
        <v>36</v>
      </c>
      <c r="C120" s="32" t="s">
        <v>315</v>
      </c>
      <c r="D120" s="31" t="s">
        <v>83</v>
      </c>
      <c r="E120" s="31"/>
      <c r="F120" s="31" t="s">
        <v>84</v>
      </c>
      <c r="G120" s="33">
        <v>5</v>
      </c>
      <c r="H120" s="33">
        <v>50</v>
      </c>
      <c r="I120" s="33">
        <v>2</v>
      </c>
      <c r="J120" s="34">
        <v>0</v>
      </c>
      <c r="K120" s="35">
        <v>0</v>
      </c>
      <c r="L120" s="34">
        <v>0</v>
      </c>
      <c r="M120" s="31" t="s">
        <v>85</v>
      </c>
      <c r="N120" s="36">
        <v>46217</v>
      </c>
      <c r="O120" s="32"/>
    </row>
    <row r="121" spans="1:15" ht="42.75" x14ac:dyDescent="0.25">
      <c r="A121" s="25" t="s">
        <v>316</v>
      </c>
      <c r="B121" s="25" t="s">
        <v>36</v>
      </c>
      <c r="C121" s="26" t="s">
        <v>317</v>
      </c>
      <c r="D121" s="25" t="s">
        <v>83</v>
      </c>
      <c r="E121" s="25"/>
      <c r="F121" s="25" t="s">
        <v>84</v>
      </c>
      <c r="G121" s="27">
        <v>5</v>
      </c>
      <c r="H121" s="27">
        <v>50</v>
      </c>
      <c r="I121" s="27">
        <v>2</v>
      </c>
      <c r="J121" s="28">
        <v>0</v>
      </c>
      <c r="K121" s="29">
        <v>0</v>
      </c>
      <c r="L121" s="28">
        <v>0</v>
      </c>
      <c r="M121" s="25" t="s">
        <v>85</v>
      </c>
      <c r="N121" s="30">
        <v>46217</v>
      </c>
      <c r="O121" s="26"/>
    </row>
    <row r="122" spans="1:15" ht="28.5" x14ac:dyDescent="0.25">
      <c r="A122" s="31" t="s">
        <v>318</v>
      </c>
      <c r="B122" s="31" t="s">
        <v>36</v>
      </c>
      <c r="C122" s="32" t="s">
        <v>319</v>
      </c>
      <c r="D122" s="31" t="s">
        <v>83</v>
      </c>
      <c r="E122" s="31"/>
      <c r="F122" s="31" t="s">
        <v>84</v>
      </c>
      <c r="G122" s="33">
        <v>5</v>
      </c>
      <c r="H122" s="33">
        <v>50</v>
      </c>
      <c r="I122" s="33">
        <v>2</v>
      </c>
      <c r="J122" s="34">
        <v>0</v>
      </c>
      <c r="K122" s="35">
        <v>0</v>
      </c>
      <c r="L122" s="34">
        <v>0</v>
      </c>
      <c r="M122" s="31" t="s">
        <v>85</v>
      </c>
      <c r="N122" s="36">
        <v>46217</v>
      </c>
      <c r="O122" s="32"/>
    </row>
    <row r="123" spans="1:15" ht="28.5" x14ac:dyDescent="0.25">
      <c r="A123" s="25" t="s">
        <v>320</v>
      </c>
      <c r="B123" s="25" t="s">
        <v>36</v>
      </c>
      <c r="C123" s="26" t="s">
        <v>321</v>
      </c>
      <c r="D123" s="25" t="s">
        <v>83</v>
      </c>
      <c r="E123" s="25"/>
      <c r="F123" s="25" t="s">
        <v>84</v>
      </c>
      <c r="G123" s="27">
        <v>5</v>
      </c>
      <c r="H123" s="27">
        <v>50</v>
      </c>
      <c r="I123" s="27">
        <v>2</v>
      </c>
      <c r="J123" s="28">
        <v>0</v>
      </c>
      <c r="K123" s="29">
        <v>0</v>
      </c>
      <c r="L123" s="28">
        <v>0</v>
      </c>
      <c r="M123" s="25" t="s">
        <v>85</v>
      </c>
      <c r="N123" s="30">
        <v>46217</v>
      </c>
      <c r="O123" s="26"/>
    </row>
    <row r="124" spans="1:15" ht="28.5" x14ac:dyDescent="0.25">
      <c r="A124" s="31" t="s">
        <v>322</v>
      </c>
      <c r="B124" s="31" t="s">
        <v>36</v>
      </c>
      <c r="C124" s="32" t="s">
        <v>323</v>
      </c>
      <c r="D124" s="31" t="s">
        <v>83</v>
      </c>
      <c r="E124" s="31"/>
      <c r="F124" s="31" t="s">
        <v>84</v>
      </c>
      <c r="G124" s="33">
        <v>5</v>
      </c>
      <c r="H124" s="33">
        <v>50</v>
      </c>
      <c r="I124" s="33">
        <v>2</v>
      </c>
      <c r="J124" s="34">
        <v>0</v>
      </c>
      <c r="K124" s="35">
        <v>0</v>
      </c>
      <c r="L124" s="34">
        <v>0</v>
      </c>
      <c r="M124" s="31" t="s">
        <v>85</v>
      </c>
      <c r="N124" s="36">
        <v>46217</v>
      </c>
      <c r="O124" s="32"/>
    </row>
    <row r="125" spans="1:15" ht="28.5" x14ac:dyDescent="0.25">
      <c r="A125" s="25" t="s">
        <v>324</v>
      </c>
      <c r="B125" s="25" t="s">
        <v>36</v>
      </c>
      <c r="C125" s="26" t="s">
        <v>325</v>
      </c>
      <c r="D125" s="25" t="s">
        <v>83</v>
      </c>
      <c r="E125" s="25"/>
      <c r="F125" s="25" t="s">
        <v>84</v>
      </c>
      <c r="G125" s="27">
        <v>5</v>
      </c>
      <c r="H125" s="27">
        <v>50</v>
      </c>
      <c r="I125" s="27">
        <v>2</v>
      </c>
      <c r="J125" s="28">
        <v>0</v>
      </c>
      <c r="K125" s="29">
        <v>0</v>
      </c>
      <c r="L125" s="28">
        <v>0</v>
      </c>
      <c r="M125" s="25" t="s">
        <v>85</v>
      </c>
      <c r="N125" s="30">
        <v>46217</v>
      </c>
      <c r="O125" s="26"/>
    </row>
    <row r="126" spans="1:15" ht="42.75" x14ac:dyDescent="0.25">
      <c r="A126" s="31" t="s">
        <v>326</v>
      </c>
      <c r="B126" s="31" t="s">
        <v>36</v>
      </c>
      <c r="C126" s="32" t="s">
        <v>327</v>
      </c>
      <c r="D126" s="31" t="s">
        <v>83</v>
      </c>
      <c r="E126" s="31"/>
      <c r="F126" s="31" t="s">
        <v>84</v>
      </c>
      <c r="G126" s="33">
        <v>5</v>
      </c>
      <c r="H126" s="33">
        <v>50</v>
      </c>
      <c r="I126" s="33">
        <v>2</v>
      </c>
      <c r="J126" s="34">
        <v>0</v>
      </c>
      <c r="K126" s="35">
        <v>18</v>
      </c>
      <c r="L126" s="34">
        <v>0</v>
      </c>
      <c r="M126" s="31" t="s">
        <v>85</v>
      </c>
      <c r="N126" s="36">
        <v>46217</v>
      </c>
      <c r="O126" s="32"/>
    </row>
    <row r="127" spans="1:15" ht="28.5" x14ac:dyDescent="0.25">
      <c r="A127" s="25" t="s">
        <v>328</v>
      </c>
      <c r="B127" s="25" t="s">
        <v>36</v>
      </c>
      <c r="C127" s="26" t="s">
        <v>329</v>
      </c>
      <c r="D127" s="25" t="s">
        <v>83</v>
      </c>
      <c r="E127" s="25"/>
      <c r="F127" s="25" t="s">
        <v>84</v>
      </c>
      <c r="G127" s="27">
        <v>5</v>
      </c>
      <c r="H127" s="27">
        <v>50</v>
      </c>
      <c r="I127" s="27">
        <v>2</v>
      </c>
      <c r="J127" s="28">
        <v>0</v>
      </c>
      <c r="K127" s="29">
        <v>0</v>
      </c>
      <c r="L127" s="28">
        <v>0</v>
      </c>
      <c r="M127" s="25" t="s">
        <v>85</v>
      </c>
      <c r="N127" s="30">
        <v>46217</v>
      </c>
      <c r="O127" s="26"/>
    </row>
    <row r="128" spans="1:15" ht="42.75" x14ac:dyDescent="0.25">
      <c r="A128" s="31" t="s">
        <v>330</v>
      </c>
      <c r="B128" s="31" t="s">
        <v>36</v>
      </c>
      <c r="C128" s="32" t="s">
        <v>331</v>
      </c>
      <c r="D128" s="31" t="s">
        <v>83</v>
      </c>
      <c r="E128" s="31"/>
      <c r="F128" s="31" t="s">
        <v>84</v>
      </c>
      <c r="G128" s="33">
        <v>5</v>
      </c>
      <c r="H128" s="33">
        <v>50</v>
      </c>
      <c r="I128" s="33">
        <v>2</v>
      </c>
      <c r="J128" s="34">
        <v>0</v>
      </c>
      <c r="K128" s="35">
        <v>10</v>
      </c>
      <c r="L128" s="34">
        <v>0</v>
      </c>
      <c r="M128" s="31" t="s">
        <v>85</v>
      </c>
      <c r="N128" s="36">
        <v>46217</v>
      </c>
      <c r="O128" s="32"/>
    </row>
    <row r="129" spans="1:15" ht="42.75" x14ac:dyDescent="0.25">
      <c r="A129" s="25" t="s">
        <v>332</v>
      </c>
      <c r="B129" s="25" t="s">
        <v>36</v>
      </c>
      <c r="C129" s="26" t="s">
        <v>333</v>
      </c>
      <c r="D129" s="25" t="s">
        <v>83</v>
      </c>
      <c r="E129" s="25"/>
      <c r="F129" s="25" t="s">
        <v>84</v>
      </c>
      <c r="G129" s="27">
        <v>5</v>
      </c>
      <c r="H129" s="27">
        <v>50</v>
      </c>
      <c r="I129" s="27">
        <v>2</v>
      </c>
      <c r="J129" s="28">
        <v>0</v>
      </c>
      <c r="K129" s="29">
        <v>0</v>
      </c>
      <c r="L129" s="28">
        <v>0</v>
      </c>
      <c r="M129" s="25" t="s">
        <v>85</v>
      </c>
      <c r="N129" s="30">
        <v>46217</v>
      </c>
      <c r="O129" s="26"/>
    </row>
    <row r="130" spans="1:15" ht="42.75" x14ac:dyDescent="0.25">
      <c r="A130" s="31" t="s">
        <v>334</v>
      </c>
      <c r="B130" s="31" t="s">
        <v>36</v>
      </c>
      <c r="C130" s="32" t="s">
        <v>335</v>
      </c>
      <c r="D130" s="31" t="s">
        <v>83</v>
      </c>
      <c r="E130" s="31"/>
      <c r="F130" s="31" t="s">
        <v>84</v>
      </c>
      <c r="G130" s="33">
        <v>5</v>
      </c>
      <c r="H130" s="33">
        <v>50</v>
      </c>
      <c r="I130" s="33">
        <v>2</v>
      </c>
      <c r="J130" s="34">
        <v>0</v>
      </c>
      <c r="K130" s="35">
        <v>0</v>
      </c>
      <c r="L130" s="34">
        <v>0</v>
      </c>
      <c r="M130" s="31" t="s">
        <v>85</v>
      </c>
      <c r="N130" s="36">
        <v>46217</v>
      </c>
      <c r="O130" s="32"/>
    </row>
    <row r="131" spans="1:15" ht="28.5" x14ac:dyDescent="0.25">
      <c r="A131" s="25" t="s">
        <v>336</v>
      </c>
      <c r="B131" s="25" t="s">
        <v>36</v>
      </c>
      <c r="C131" s="26" t="s">
        <v>337</v>
      </c>
      <c r="D131" s="25" t="s">
        <v>83</v>
      </c>
      <c r="E131" s="25"/>
      <c r="F131" s="25" t="s">
        <v>84</v>
      </c>
      <c r="G131" s="27">
        <v>5</v>
      </c>
      <c r="H131" s="27">
        <v>50</v>
      </c>
      <c r="I131" s="27">
        <v>2</v>
      </c>
      <c r="J131" s="28">
        <v>0</v>
      </c>
      <c r="K131" s="29">
        <v>0</v>
      </c>
      <c r="L131" s="28">
        <v>0</v>
      </c>
      <c r="M131" s="25" t="s">
        <v>85</v>
      </c>
      <c r="N131" s="30">
        <v>46217</v>
      </c>
      <c r="O131" s="26"/>
    </row>
    <row r="132" spans="1:15" ht="42.75" x14ac:dyDescent="0.25">
      <c r="A132" s="31" t="s">
        <v>338</v>
      </c>
      <c r="B132" s="31" t="s">
        <v>36</v>
      </c>
      <c r="C132" s="32" t="s">
        <v>339</v>
      </c>
      <c r="D132" s="31" t="s">
        <v>83</v>
      </c>
      <c r="E132" s="31"/>
      <c r="F132" s="31" t="s">
        <v>84</v>
      </c>
      <c r="G132" s="33">
        <v>5</v>
      </c>
      <c r="H132" s="33">
        <v>50</v>
      </c>
      <c r="I132" s="33">
        <v>2</v>
      </c>
      <c r="J132" s="34">
        <v>0</v>
      </c>
      <c r="K132" s="35">
        <v>0</v>
      </c>
      <c r="L132" s="34">
        <v>0</v>
      </c>
      <c r="M132" s="31" t="s">
        <v>85</v>
      </c>
      <c r="N132" s="36">
        <v>46217</v>
      </c>
      <c r="O132" s="32"/>
    </row>
    <row r="133" spans="1:15" x14ac:dyDescent="0.25">
      <c r="A133" s="25" t="s">
        <v>340</v>
      </c>
      <c r="B133" s="25" t="s">
        <v>36</v>
      </c>
      <c r="C133" s="26" t="s">
        <v>341</v>
      </c>
      <c r="D133" s="25" t="s">
        <v>83</v>
      </c>
      <c r="E133" s="25"/>
      <c r="F133" s="25" t="s">
        <v>84</v>
      </c>
      <c r="G133" s="27">
        <v>5</v>
      </c>
      <c r="H133" s="27">
        <v>50</v>
      </c>
      <c r="I133" s="27">
        <v>2</v>
      </c>
      <c r="J133" s="28">
        <v>0</v>
      </c>
      <c r="K133" s="29">
        <v>0</v>
      </c>
      <c r="L133" s="28">
        <v>0</v>
      </c>
      <c r="M133" s="25" t="s">
        <v>85</v>
      </c>
      <c r="N133" s="30">
        <v>46217</v>
      </c>
      <c r="O133" s="26"/>
    </row>
    <row r="134" spans="1:15" ht="42.75" x14ac:dyDescent="0.25">
      <c r="A134" s="31" t="s">
        <v>342</v>
      </c>
      <c r="B134" s="31" t="s">
        <v>38</v>
      </c>
      <c r="C134" s="32" t="s">
        <v>343</v>
      </c>
      <c r="D134" s="31" t="s">
        <v>83</v>
      </c>
      <c r="E134" s="31"/>
      <c r="F134" s="31" t="s">
        <v>84</v>
      </c>
      <c r="G134" s="33">
        <v>5</v>
      </c>
      <c r="H134" s="33">
        <v>50</v>
      </c>
      <c r="I134" s="33">
        <v>2</v>
      </c>
      <c r="J134" s="34">
        <v>0</v>
      </c>
      <c r="K134" s="35">
        <v>0</v>
      </c>
      <c r="L134" s="34">
        <v>0</v>
      </c>
      <c r="M134" s="31" t="s">
        <v>85</v>
      </c>
      <c r="N134" s="36">
        <v>46217</v>
      </c>
      <c r="O134" s="32"/>
    </row>
    <row r="135" spans="1:15" ht="28.5" x14ac:dyDescent="0.25">
      <c r="A135" s="25" t="s">
        <v>344</v>
      </c>
      <c r="B135" s="25" t="s">
        <v>38</v>
      </c>
      <c r="C135" s="26" t="s">
        <v>345</v>
      </c>
      <c r="D135" s="25" t="s">
        <v>83</v>
      </c>
      <c r="E135" s="25"/>
      <c r="F135" s="25" t="s">
        <v>84</v>
      </c>
      <c r="G135" s="27">
        <v>5</v>
      </c>
      <c r="H135" s="27">
        <v>50</v>
      </c>
      <c r="I135" s="27">
        <v>2</v>
      </c>
      <c r="J135" s="28">
        <v>0</v>
      </c>
      <c r="K135" s="29">
        <v>15</v>
      </c>
      <c r="L135" s="28">
        <v>0</v>
      </c>
      <c r="M135" s="25" t="s">
        <v>85</v>
      </c>
      <c r="N135" s="30">
        <v>46217</v>
      </c>
      <c r="O135" s="26"/>
    </row>
    <row r="136" spans="1:15" ht="42.75" x14ac:dyDescent="0.25">
      <c r="A136" s="31" t="s">
        <v>346</v>
      </c>
      <c r="B136" s="31" t="s">
        <v>38</v>
      </c>
      <c r="C136" s="32" t="s">
        <v>347</v>
      </c>
      <c r="D136" s="31" t="s">
        <v>83</v>
      </c>
      <c r="E136" s="31"/>
      <c r="F136" s="31" t="s">
        <v>84</v>
      </c>
      <c r="G136" s="33">
        <v>5</v>
      </c>
      <c r="H136" s="33">
        <v>50</v>
      </c>
      <c r="I136" s="33">
        <v>2</v>
      </c>
      <c r="J136" s="34">
        <v>0</v>
      </c>
      <c r="K136" s="35">
        <v>23</v>
      </c>
      <c r="L136" s="34">
        <v>0</v>
      </c>
      <c r="M136" s="31" t="s">
        <v>85</v>
      </c>
      <c r="N136" s="36">
        <v>46217</v>
      </c>
      <c r="O136" s="32"/>
    </row>
    <row r="137" spans="1:15" ht="28.5" x14ac:dyDescent="0.25">
      <c r="A137" s="25" t="s">
        <v>348</v>
      </c>
      <c r="B137" s="25" t="s">
        <v>38</v>
      </c>
      <c r="C137" s="26" t="s">
        <v>349</v>
      </c>
      <c r="D137" s="25" t="s">
        <v>83</v>
      </c>
      <c r="E137" s="25"/>
      <c r="F137" s="25" t="s">
        <v>84</v>
      </c>
      <c r="G137" s="27">
        <v>5</v>
      </c>
      <c r="H137" s="27">
        <v>50</v>
      </c>
      <c r="I137" s="27">
        <v>2</v>
      </c>
      <c r="J137" s="28">
        <v>0</v>
      </c>
      <c r="K137" s="29">
        <v>0</v>
      </c>
      <c r="L137" s="28">
        <v>0</v>
      </c>
      <c r="M137" s="25" t="s">
        <v>85</v>
      </c>
      <c r="N137" s="30">
        <v>46217</v>
      </c>
      <c r="O137" s="26"/>
    </row>
    <row r="138" spans="1:15" ht="42.75" x14ac:dyDescent="0.25">
      <c r="A138" s="31" t="s">
        <v>350</v>
      </c>
      <c r="B138" s="31" t="s">
        <v>38</v>
      </c>
      <c r="C138" s="32" t="s">
        <v>351</v>
      </c>
      <c r="D138" s="31" t="s">
        <v>83</v>
      </c>
      <c r="E138" s="31"/>
      <c r="F138" s="31" t="s">
        <v>84</v>
      </c>
      <c r="G138" s="33">
        <v>5</v>
      </c>
      <c r="H138" s="33">
        <v>50</v>
      </c>
      <c r="I138" s="33">
        <v>2</v>
      </c>
      <c r="J138" s="34">
        <v>0</v>
      </c>
      <c r="K138" s="35">
        <v>0</v>
      </c>
      <c r="L138" s="34">
        <v>0</v>
      </c>
      <c r="M138" s="31" t="s">
        <v>85</v>
      </c>
      <c r="N138" s="36">
        <v>46217</v>
      </c>
      <c r="O138" s="32"/>
    </row>
    <row r="139" spans="1:15" ht="42.75" x14ac:dyDescent="0.25">
      <c r="A139" s="25" t="s">
        <v>352</v>
      </c>
      <c r="B139" s="25" t="s">
        <v>38</v>
      </c>
      <c r="C139" s="26" t="s">
        <v>353</v>
      </c>
      <c r="D139" s="25" t="s">
        <v>83</v>
      </c>
      <c r="E139" s="25"/>
      <c r="F139" s="25" t="s">
        <v>84</v>
      </c>
      <c r="G139" s="27">
        <v>5</v>
      </c>
      <c r="H139" s="27">
        <v>50</v>
      </c>
      <c r="I139" s="27">
        <v>2</v>
      </c>
      <c r="J139" s="28">
        <v>0</v>
      </c>
      <c r="K139" s="29">
        <v>0</v>
      </c>
      <c r="L139" s="28">
        <v>0</v>
      </c>
      <c r="M139" s="25" t="s">
        <v>85</v>
      </c>
      <c r="N139" s="30">
        <v>46217</v>
      </c>
      <c r="O139" s="26"/>
    </row>
    <row r="140" spans="1:15" ht="28.5" x14ac:dyDescent="0.25">
      <c r="A140" s="31" t="s">
        <v>354</v>
      </c>
      <c r="B140" s="31" t="s">
        <v>38</v>
      </c>
      <c r="C140" s="32" t="s">
        <v>355</v>
      </c>
      <c r="D140" s="31" t="s">
        <v>83</v>
      </c>
      <c r="E140" s="31"/>
      <c r="F140" s="31" t="s">
        <v>84</v>
      </c>
      <c r="G140" s="33">
        <v>5</v>
      </c>
      <c r="H140" s="33">
        <v>50</v>
      </c>
      <c r="I140" s="33">
        <v>2</v>
      </c>
      <c r="J140" s="34">
        <v>0</v>
      </c>
      <c r="K140" s="35">
        <v>0</v>
      </c>
      <c r="L140" s="34">
        <v>0</v>
      </c>
      <c r="M140" s="31" t="s">
        <v>85</v>
      </c>
      <c r="N140" s="36">
        <v>46217</v>
      </c>
      <c r="O140" s="32"/>
    </row>
    <row r="141" spans="1:15" ht="28.5" x14ac:dyDescent="0.25">
      <c r="A141" s="25" t="s">
        <v>356</v>
      </c>
      <c r="B141" s="25" t="s">
        <v>38</v>
      </c>
      <c r="C141" s="26" t="s">
        <v>357</v>
      </c>
      <c r="D141" s="25" t="s">
        <v>83</v>
      </c>
      <c r="E141" s="25"/>
      <c r="F141" s="25" t="s">
        <v>84</v>
      </c>
      <c r="G141" s="27">
        <v>5</v>
      </c>
      <c r="H141" s="27">
        <v>50</v>
      </c>
      <c r="I141" s="27">
        <v>2</v>
      </c>
      <c r="J141" s="28">
        <v>0</v>
      </c>
      <c r="K141" s="29">
        <v>6</v>
      </c>
      <c r="L141" s="28">
        <v>0</v>
      </c>
      <c r="M141" s="25" t="s">
        <v>85</v>
      </c>
      <c r="N141" s="30">
        <v>46217</v>
      </c>
      <c r="O141" s="26"/>
    </row>
    <row r="142" spans="1:15" ht="28.5" x14ac:dyDescent="0.25">
      <c r="A142" s="31" t="s">
        <v>358</v>
      </c>
      <c r="B142" s="31" t="s">
        <v>38</v>
      </c>
      <c r="C142" s="32" t="s">
        <v>359</v>
      </c>
      <c r="D142" s="31" t="s">
        <v>83</v>
      </c>
      <c r="E142" s="31"/>
      <c r="F142" s="31" t="s">
        <v>84</v>
      </c>
      <c r="G142" s="33">
        <v>5</v>
      </c>
      <c r="H142" s="33">
        <v>50</v>
      </c>
      <c r="I142" s="33">
        <v>2</v>
      </c>
      <c r="J142" s="34">
        <v>0</v>
      </c>
      <c r="K142" s="35">
        <v>20</v>
      </c>
      <c r="L142" s="34">
        <v>0</v>
      </c>
      <c r="M142" s="31" t="s">
        <v>85</v>
      </c>
      <c r="N142" s="36">
        <v>46217</v>
      </c>
      <c r="O142" s="32"/>
    </row>
    <row r="143" spans="1:15" ht="28.5" x14ac:dyDescent="0.25">
      <c r="A143" s="25" t="s">
        <v>360</v>
      </c>
      <c r="B143" s="25" t="s">
        <v>38</v>
      </c>
      <c r="C143" s="26" t="s">
        <v>361</v>
      </c>
      <c r="D143" s="25" t="s">
        <v>83</v>
      </c>
      <c r="E143" s="25"/>
      <c r="F143" s="25" t="s">
        <v>84</v>
      </c>
      <c r="G143" s="27">
        <v>5</v>
      </c>
      <c r="H143" s="27">
        <v>50</v>
      </c>
      <c r="I143" s="27">
        <v>2</v>
      </c>
      <c r="J143" s="28">
        <v>0</v>
      </c>
      <c r="K143" s="29">
        <v>0</v>
      </c>
      <c r="L143" s="28">
        <v>0</v>
      </c>
      <c r="M143" s="25" t="s">
        <v>85</v>
      </c>
      <c r="N143" s="30">
        <v>46217</v>
      </c>
      <c r="O143" s="26"/>
    </row>
    <row r="144" spans="1:15" ht="28.5" x14ac:dyDescent="0.25">
      <c r="A144" s="31" t="s">
        <v>362</v>
      </c>
      <c r="B144" s="31" t="s">
        <v>38</v>
      </c>
      <c r="C144" s="32" t="s">
        <v>363</v>
      </c>
      <c r="D144" s="31" t="s">
        <v>83</v>
      </c>
      <c r="E144" s="31"/>
      <c r="F144" s="31" t="s">
        <v>84</v>
      </c>
      <c r="G144" s="33">
        <v>5</v>
      </c>
      <c r="H144" s="33">
        <v>50</v>
      </c>
      <c r="I144" s="33">
        <v>2</v>
      </c>
      <c r="J144" s="34">
        <v>0</v>
      </c>
      <c r="K144" s="35">
        <v>0</v>
      </c>
      <c r="L144" s="34">
        <v>0</v>
      </c>
      <c r="M144" s="31" t="s">
        <v>85</v>
      </c>
      <c r="N144" s="36">
        <v>46217</v>
      </c>
      <c r="O144" s="32"/>
    </row>
    <row r="145" spans="1:15" ht="28.5" x14ac:dyDescent="0.25">
      <c r="A145" s="25" t="s">
        <v>364</v>
      </c>
      <c r="B145" s="25" t="s">
        <v>38</v>
      </c>
      <c r="C145" s="26" t="s">
        <v>365</v>
      </c>
      <c r="D145" s="25" t="s">
        <v>83</v>
      </c>
      <c r="E145" s="25"/>
      <c r="F145" s="25" t="s">
        <v>84</v>
      </c>
      <c r="G145" s="27">
        <v>5</v>
      </c>
      <c r="H145" s="27">
        <v>50</v>
      </c>
      <c r="I145" s="27">
        <v>2</v>
      </c>
      <c r="J145" s="28">
        <v>0</v>
      </c>
      <c r="K145" s="29">
        <v>0</v>
      </c>
      <c r="L145" s="28">
        <v>0</v>
      </c>
      <c r="M145" s="25" t="s">
        <v>85</v>
      </c>
      <c r="N145" s="30">
        <v>46217</v>
      </c>
      <c r="O145" s="26"/>
    </row>
    <row r="146" spans="1:15" x14ac:dyDescent="0.25">
      <c r="A146" s="31" t="s">
        <v>366</v>
      </c>
      <c r="B146" s="31" t="s">
        <v>38</v>
      </c>
      <c r="C146" s="32" t="s">
        <v>367</v>
      </c>
      <c r="D146" s="31" t="s">
        <v>83</v>
      </c>
      <c r="E146" s="31"/>
      <c r="F146" s="31" t="s">
        <v>84</v>
      </c>
      <c r="G146" s="33">
        <v>5</v>
      </c>
      <c r="H146" s="33">
        <v>50</v>
      </c>
      <c r="I146" s="33">
        <v>2</v>
      </c>
      <c r="J146" s="34">
        <v>0</v>
      </c>
      <c r="K146" s="35">
        <v>0</v>
      </c>
      <c r="L146" s="34">
        <v>0</v>
      </c>
      <c r="M146" s="31" t="s">
        <v>85</v>
      </c>
      <c r="N146" s="36">
        <v>46217</v>
      </c>
      <c r="O146" s="32"/>
    </row>
    <row r="147" spans="1:15" x14ac:dyDescent="0.25">
      <c r="A147" s="25" t="s">
        <v>368</v>
      </c>
      <c r="B147" s="25" t="s">
        <v>38</v>
      </c>
      <c r="C147" s="26" t="s">
        <v>369</v>
      </c>
      <c r="D147" s="25" t="s">
        <v>83</v>
      </c>
      <c r="E147" s="25"/>
      <c r="F147" s="25" t="s">
        <v>84</v>
      </c>
      <c r="G147" s="27">
        <v>5</v>
      </c>
      <c r="H147" s="27">
        <v>50</v>
      </c>
      <c r="I147" s="27">
        <v>2</v>
      </c>
      <c r="J147" s="28">
        <v>0</v>
      </c>
      <c r="K147" s="29">
        <v>0</v>
      </c>
      <c r="L147" s="28">
        <v>0</v>
      </c>
      <c r="M147" s="25" t="s">
        <v>85</v>
      </c>
      <c r="N147" s="30">
        <v>46217</v>
      </c>
      <c r="O147" s="26"/>
    </row>
    <row r="148" spans="1:15" ht="28.5" x14ac:dyDescent="0.25">
      <c r="A148" s="31" t="s">
        <v>370</v>
      </c>
      <c r="B148" s="31" t="s">
        <v>38</v>
      </c>
      <c r="C148" s="32" t="s">
        <v>371</v>
      </c>
      <c r="D148" s="31" t="s">
        <v>83</v>
      </c>
      <c r="E148" s="31"/>
      <c r="F148" s="31" t="s">
        <v>84</v>
      </c>
      <c r="G148" s="33">
        <v>5</v>
      </c>
      <c r="H148" s="33">
        <v>50</v>
      </c>
      <c r="I148" s="33">
        <v>2</v>
      </c>
      <c r="J148" s="34">
        <v>0</v>
      </c>
      <c r="K148" s="35">
        <v>0</v>
      </c>
      <c r="L148" s="34">
        <v>0</v>
      </c>
      <c r="M148" s="31" t="s">
        <v>85</v>
      </c>
      <c r="N148" s="36">
        <v>46217</v>
      </c>
      <c r="O148" s="32"/>
    </row>
    <row r="149" spans="1:15" ht="28.5" x14ac:dyDescent="0.25">
      <c r="A149" s="25" t="s">
        <v>372</v>
      </c>
      <c r="B149" s="25" t="s">
        <v>38</v>
      </c>
      <c r="C149" s="26" t="s">
        <v>373</v>
      </c>
      <c r="D149" s="25" t="s">
        <v>83</v>
      </c>
      <c r="E149" s="25"/>
      <c r="F149" s="25" t="s">
        <v>84</v>
      </c>
      <c r="G149" s="27">
        <v>20</v>
      </c>
      <c r="H149" s="27">
        <v>153</v>
      </c>
      <c r="I149" s="27">
        <v>10</v>
      </c>
      <c r="J149" s="28">
        <v>0</v>
      </c>
      <c r="K149" s="29">
        <v>102</v>
      </c>
      <c r="L149" s="28">
        <v>0</v>
      </c>
      <c r="M149" s="25" t="s">
        <v>85</v>
      </c>
      <c r="N149" s="30">
        <v>46217</v>
      </c>
      <c r="O149" s="26"/>
    </row>
    <row r="150" spans="1:15" ht="28.5" x14ac:dyDescent="0.25">
      <c r="A150" s="31" t="s">
        <v>374</v>
      </c>
      <c r="B150" s="31" t="s">
        <v>38</v>
      </c>
      <c r="C150" s="32" t="s">
        <v>375</v>
      </c>
      <c r="D150" s="31" t="s">
        <v>83</v>
      </c>
      <c r="E150" s="31"/>
      <c r="F150" s="31" t="s">
        <v>84</v>
      </c>
      <c r="G150" s="33">
        <v>5</v>
      </c>
      <c r="H150" s="33">
        <v>50</v>
      </c>
      <c r="I150" s="33">
        <v>2</v>
      </c>
      <c r="J150" s="34">
        <v>0</v>
      </c>
      <c r="K150" s="35">
        <v>0</v>
      </c>
      <c r="L150" s="34">
        <v>0</v>
      </c>
      <c r="M150" s="31" t="s">
        <v>85</v>
      </c>
      <c r="N150" s="36">
        <v>46217</v>
      </c>
      <c r="O150" s="32"/>
    </row>
    <row r="151" spans="1:15" ht="28.5" x14ac:dyDescent="0.25">
      <c r="A151" s="25" t="s">
        <v>376</v>
      </c>
      <c r="B151" s="25" t="s">
        <v>38</v>
      </c>
      <c r="C151" s="26" t="s">
        <v>377</v>
      </c>
      <c r="D151" s="25" t="s">
        <v>83</v>
      </c>
      <c r="E151" s="25"/>
      <c r="F151" s="25" t="s">
        <v>84</v>
      </c>
      <c r="G151" s="27">
        <v>5</v>
      </c>
      <c r="H151" s="27">
        <v>50</v>
      </c>
      <c r="I151" s="27">
        <v>2</v>
      </c>
      <c r="J151" s="28">
        <v>0</v>
      </c>
      <c r="K151" s="29">
        <v>0</v>
      </c>
      <c r="L151" s="28">
        <v>0</v>
      </c>
      <c r="M151" s="25" t="s">
        <v>85</v>
      </c>
      <c r="N151" s="30">
        <v>46217</v>
      </c>
      <c r="O151" s="26"/>
    </row>
    <row r="152" spans="1:15" ht="28.5" x14ac:dyDescent="0.25">
      <c r="A152" s="31" t="s">
        <v>378</v>
      </c>
      <c r="B152" s="31" t="s">
        <v>38</v>
      </c>
      <c r="C152" s="32" t="s">
        <v>379</v>
      </c>
      <c r="D152" s="31" t="s">
        <v>83</v>
      </c>
      <c r="E152" s="31"/>
      <c r="F152" s="31" t="s">
        <v>84</v>
      </c>
      <c r="G152" s="33">
        <v>5</v>
      </c>
      <c r="H152" s="33">
        <v>50</v>
      </c>
      <c r="I152" s="33">
        <v>2</v>
      </c>
      <c r="J152" s="34">
        <v>0</v>
      </c>
      <c r="K152" s="35">
        <v>0</v>
      </c>
      <c r="L152" s="34">
        <v>0</v>
      </c>
      <c r="M152" s="31" t="s">
        <v>85</v>
      </c>
      <c r="N152" s="36">
        <v>46217</v>
      </c>
      <c r="O152" s="32"/>
    </row>
    <row r="153" spans="1:15" x14ac:dyDescent="0.25">
      <c r="A153" s="25" t="s">
        <v>380</v>
      </c>
      <c r="B153" s="25" t="s">
        <v>38</v>
      </c>
      <c r="C153" s="26" t="s">
        <v>381</v>
      </c>
      <c r="D153" s="25" t="s">
        <v>83</v>
      </c>
      <c r="E153" s="25"/>
      <c r="F153" s="25" t="s">
        <v>84</v>
      </c>
      <c r="G153" s="27">
        <v>5</v>
      </c>
      <c r="H153" s="27">
        <v>50</v>
      </c>
      <c r="I153" s="27">
        <v>2</v>
      </c>
      <c r="J153" s="28">
        <v>0</v>
      </c>
      <c r="K153" s="29">
        <v>0</v>
      </c>
      <c r="L153" s="28">
        <v>0</v>
      </c>
      <c r="M153" s="25" t="s">
        <v>85</v>
      </c>
      <c r="N153" s="30">
        <v>46217</v>
      </c>
      <c r="O153" s="26"/>
    </row>
    <row r="154" spans="1:15" x14ac:dyDescent="0.25">
      <c r="A154" s="31" t="s">
        <v>382</v>
      </c>
      <c r="B154" s="31" t="s">
        <v>38</v>
      </c>
      <c r="C154" s="32" t="s">
        <v>383</v>
      </c>
      <c r="D154" s="31" t="s">
        <v>83</v>
      </c>
      <c r="E154" s="31"/>
      <c r="F154" s="31" t="s">
        <v>84</v>
      </c>
      <c r="G154" s="33">
        <v>5</v>
      </c>
      <c r="H154" s="33">
        <v>50</v>
      </c>
      <c r="I154" s="33">
        <v>2</v>
      </c>
      <c r="J154" s="34">
        <v>0</v>
      </c>
      <c r="K154" s="35">
        <v>0</v>
      </c>
      <c r="L154" s="34">
        <v>0</v>
      </c>
      <c r="M154" s="31" t="s">
        <v>85</v>
      </c>
      <c r="N154" s="36">
        <v>46217</v>
      </c>
      <c r="O154" s="32"/>
    </row>
    <row r="155" spans="1:15" x14ac:dyDescent="0.25">
      <c r="A155" s="25" t="s">
        <v>384</v>
      </c>
      <c r="B155" s="25" t="s">
        <v>38</v>
      </c>
      <c r="C155" s="26" t="s">
        <v>385</v>
      </c>
      <c r="D155" s="25" t="s">
        <v>83</v>
      </c>
      <c r="E155" s="25"/>
      <c r="F155" s="25" t="s">
        <v>84</v>
      </c>
      <c r="G155" s="27">
        <v>5</v>
      </c>
      <c r="H155" s="27">
        <v>50</v>
      </c>
      <c r="I155" s="27">
        <v>2</v>
      </c>
      <c r="J155" s="28">
        <v>0</v>
      </c>
      <c r="K155" s="29">
        <v>0</v>
      </c>
      <c r="L155" s="28">
        <v>0</v>
      </c>
      <c r="M155" s="25" t="s">
        <v>85</v>
      </c>
      <c r="N155" s="30">
        <v>46217</v>
      </c>
      <c r="O155" s="26"/>
    </row>
    <row r="156" spans="1:15" x14ac:dyDescent="0.25">
      <c r="A156" s="31" t="s">
        <v>386</v>
      </c>
      <c r="B156" s="31" t="s">
        <v>38</v>
      </c>
      <c r="C156" s="32" t="s">
        <v>387</v>
      </c>
      <c r="D156" s="31" t="s">
        <v>83</v>
      </c>
      <c r="E156" s="31"/>
      <c r="F156" s="31" t="s">
        <v>84</v>
      </c>
      <c r="G156" s="33">
        <v>5</v>
      </c>
      <c r="H156" s="33">
        <v>50</v>
      </c>
      <c r="I156" s="33">
        <v>2</v>
      </c>
      <c r="J156" s="34">
        <v>0</v>
      </c>
      <c r="K156" s="35">
        <v>0</v>
      </c>
      <c r="L156" s="34">
        <v>0</v>
      </c>
      <c r="M156" s="31" t="s">
        <v>85</v>
      </c>
      <c r="N156" s="36">
        <v>46217</v>
      </c>
      <c r="O156" s="32"/>
    </row>
    <row r="157" spans="1:15" x14ac:dyDescent="0.25">
      <c r="A157" s="25" t="s">
        <v>388</v>
      </c>
      <c r="B157" s="25" t="s">
        <v>38</v>
      </c>
      <c r="C157" s="26" t="s">
        <v>389</v>
      </c>
      <c r="D157" s="25" t="s">
        <v>83</v>
      </c>
      <c r="E157" s="25"/>
      <c r="F157" s="25" t="s">
        <v>84</v>
      </c>
      <c r="G157" s="27">
        <v>5</v>
      </c>
      <c r="H157" s="27">
        <v>50</v>
      </c>
      <c r="I157" s="27">
        <v>2</v>
      </c>
      <c r="J157" s="28">
        <v>0</v>
      </c>
      <c r="K157" s="29">
        <v>0</v>
      </c>
      <c r="L157" s="28">
        <v>0</v>
      </c>
      <c r="M157" s="25" t="s">
        <v>85</v>
      </c>
      <c r="N157" s="30">
        <v>46217</v>
      </c>
      <c r="O157" s="26"/>
    </row>
    <row r="158" spans="1:15" x14ac:dyDescent="0.25">
      <c r="A158" s="31" t="s">
        <v>390</v>
      </c>
      <c r="B158" s="31" t="s">
        <v>38</v>
      </c>
      <c r="C158" s="32" t="s">
        <v>391</v>
      </c>
      <c r="D158" s="31" t="s">
        <v>83</v>
      </c>
      <c r="E158" s="31"/>
      <c r="F158" s="31" t="s">
        <v>84</v>
      </c>
      <c r="G158" s="33">
        <v>5</v>
      </c>
      <c r="H158" s="33">
        <v>50</v>
      </c>
      <c r="I158" s="33">
        <v>2</v>
      </c>
      <c r="J158" s="34">
        <v>0</v>
      </c>
      <c r="K158" s="35">
        <v>0</v>
      </c>
      <c r="L158" s="34">
        <v>0</v>
      </c>
      <c r="M158" s="31" t="s">
        <v>85</v>
      </c>
      <c r="N158" s="36">
        <v>46217</v>
      </c>
      <c r="O158" s="32"/>
    </row>
    <row r="159" spans="1:15" x14ac:dyDescent="0.25">
      <c r="A159" s="25" t="s">
        <v>392</v>
      </c>
      <c r="B159" s="25" t="s">
        <v>38</v>
      </c>
      <c r="C159" s="26" t="s">
        <v>393</v>
      </c>
      <c r="D159" s="25" t="s">
        <v>83</v>
      </c>
      <c r="E159" s="25"/>
      <c r="F159" s="25" t="s">
        <v>84</v>
      </c>
      <c r="G159" s="27">
        <v>5</v>
      </c>
      <c r="H159" s="27">
        <v>50</v>
      </c>
      <c r="I159" s="27">
        <v>2</v>
      </c>
      <c r="J159" s="28">
        <v>0</v>
      </c>
      <c r="K159" s="29">
        <v>0</v>
      </c>
      <c r="L159" s="28">
        <v>0</v>
      </c>
      <c r="M159" s="25" t="s">
        <v>85</v>
      </c>
      <c r="N159" s="30">
        <v>46217</v>
      </c>
      <c r="O159" s="26"/>
    </row>
    <row r="160" spans="1:15" x14ac:dyDescent="0.25">
      <c r="A160" s="31" t="s">
        <v>394</v>
      </c>
      <c r="B160" s="31" t="s">
        <v>38</v>
      </c>
      <c r="C160" s="32" t="s">
        <v>395</v>
      </c>
      <c r="D160" s="31" t="s">
        <v>83</v>
      </c>
      <c r="E160" s="31"/>
      <c r="F160" s="31" t="s">
        <v>84</v>
      </c>
      <c r="G160" s="33">
        <v>5</v>
      </c>
      <c r="H160" s="33">
        <v>50</v>
      </c>
      <c r="I160" s="33">
        <v>2</v>
      </c>
      <c r="J160" s="34">
        <v>0</v>
      </c>
      <c r="K160" s="35">
        <v>0</v>
      </c>
      <c r="L160" s="34">
        <v>0</v>
      </c>
      <c r="M160" s="31" t="s">
        <v>85</v>
      </c>
      <c r="N160" s="36">
        <v>46217</v>
      </c>
      <c r="O160" s="32"/>
    </row>
    <row r="161" spans="1:15" ht="28.5" x14ac:dyDescent="0.25">
      <c r="A161" s="25" t="s">
        <v>396</v>
      </c>
      <c r="B161" s="25" t="s">
        <v>38</v>
      </c>
      <c r="C161" s="26" t="s">
        <v>397</v>
      </c>
      <c r="D161" s="25" t="s">
        <v>83</v>
      </c>
      <c r="E161" s="25"/>
      <c r="F161" s="25" t="s">
        <v>84</v>
      </c>
      <c r="G161" s="27">
        <v>5</v>
      </c>
      <c r="H161" s="27">
        <v>50</v>
      </c>
      <c r="I161" s="27">
        <v>2</v>
      </c>
      <c r="J161" s="28">
        <v>0</v>
      </c>
      <c r="K161" s="29">
        <v>0</v>
      </c>
      <c r="L161" s="28">
        <v>0</v>
      </c>
      <c r="M161" s="25" t="s">
        <v>85</v>
      </c>
      <c r="N161" s="30">
        <v>46217</v>
      </c>
      <c r="O161" s="26"/>
    </row>
    <row r="162" spans="1:15" ht="42.75" x14ac:dyDescent="0.25">
      <c r="A162" s="31" t="s">
        <v>398</v>
      </c>
      <c r="B162" s="31" t="s">
        <v>38</v>
      </c>
      <c r="C162" s="32" t="s">
        <v>399</v>
      </c>
      <c r="D162" s="31" t="s">
        <v>83</v>
      </c>
      <c r="E162" s="31"/>
      <c r="F162" s="31" t="s">
        <v>84</v>
      </c>
      <c r="G162" s="33">
        <v>5</v>
      </c>
      <c r="H162" s="33">
        <v>50</v>
      </c>
      <c r="I162" s="33">
        <v>2</v>
      </c>
      <c r="J162" s="34">
        <v>0</v>
      </c>
      <c r="K162" s="35">
        <v>0</v>
      </c>
      <c r="L162" s="34">
        <v>0</v>
      </c>
      <c r="M162" s="31" t="s">
        <v>85</v>
      </c>
      <c r="N162" s="36">
        <v>46217</v>
      </c>
      <c r="O162" s="32"/>
    </row>
    <row r="163" spans="1:15" ht="28.5" x14ac:dyDescent="0.25">
      <c r="A163" s="25" t="s">
        <v>400</v>
      </c>
      <c r="B163" s="25" t="s">
        <v>38</v>
      </c>
      <c r="C163" s="26" t="s">
        <v>401</v>
      </c>
      <c r="D163" s="25" t="s">
        <v>83</v>
      </c>
      <c r="E163" s="25"/>
      <c r="F163" s="25" t="s">
        <v>84</v>
      </c>
      <c r="G163" s="27">
        <v>5</v>
      </c>
      <c r="H163" s="27">
        <v>50</v>
      </c>
      <c r="I163" s="27">
        <v>2</v>
      </c>
      <c r="J163" s="28">
        <v>0</v>
      </c>
      <c r="K163" s="29">
        <v>0</v>
      </c>
      <c r="L163" s="28">
        <v>0</v>
      </c>
      <c r="M163" s="25" t="s">
        <v>85</v>
      </c>
      <c r="N163" s="30">
        <v>46217</v>
      </c>
      <c r="O163" s="26"/>
    </row>
    <row r="164" spans="1:15" ht="28.5" x14ac:dyDescent="0.25">
      <c r="A164" s="31" t="s">
        <v>402</v>
      </c>
      <c r="B164" s="31" t="s">
        <v>38</v>
      </c>
      <c r="C164" s="32" t="s">
        <v>403</v>
      </c>
      <c r="D164" s="31" t="s">
        <v>83</v>
      </c>
      <c r="E164" s="31"/>
      <c r="F164" s="31" t="s">
        <v>84</v>
      </c>
      <c r="G164" s="33">
        <v>5</v>
      </c>
      <c r="H164" s="33">
        <v>50</v>
      </c>
      <c r="I164" s="33">
        <v>2</v>
      </c>
      <c r="J164" s="34">
        <v>0</v>
      </c>
      <c r="K164" s="35">
        <v>0</v>
      </c>
      <c r="L164" s="34">
        <v>0</v>
      </c>
      <c r="M164" s="31" t="s">
        <v>85</v>
      </c>
      <c r="N164" s="36">
        <v>46217</v>
      </c>
      <c r="O164" s="32"/>
    </row>
    <row r="165" spans="1:15" ht="42.75" x14ac:dyDescent="0.25">
      <c r="A165" s="25" t="s">
        <v>404</v>
      </c>
      <c r="B165" s="25" t="s">
        <v>38</v>
      </c>
      <c r="C165" s="26" t="s">
        <v>405</v>
      </c>
      <c r="D165" s="25" t="s">
        <v>83</v>
      </c>
      <c r="E165" s="25"/>
      <c r="F165" s="25" t="s">
        <v>84</v>
      </c>
      <c r="G165" s="27">
        <v>5</v>
      </c>
      <c r="H165" s="27">
        <v>50</v>
      </c>
      <c r="I165" s="27">
        <v>2</v>
      </c>
      <c r="J165" s="28">
        <v>0</v>
      </c>
      <c r="K165" s="29">
        <v>0</v>
      </c>
      <c r="L165" s="28">
        <v>0</v>
      </c>
      <c r="M165" s="25" t="s">
        <v>85</v>
      </c>
      <c r="N165" s="30">
        <v>46217</v>
      </c>
      <c r="O165" s="26"/>
    </row>
    <row r="166" spans="1:15" ht="42.75" x14ac:dyDescent="0.25">
      <c r="A166" s="31" t="s">
        <v>406</v>
      </c>
      <c r="B166" s="31" t="s">
        <v>38</v>
      </c>
      <c r="C166" s="32" t="s">
        <v>407</v>
      </c>
      <c r="D166" s="31" t="s">
        <v>83</v>
      </c>
      <c r="E166" s="31"/>
      <c r="F166" s="31" t="s">
        <v>84</v>
      </c>
      <c r="G166" s="33">
        <v>5</v>
      </c>
      <c r="H166" s="33">
        <v>50</v>
      </c>
      <c r="I166" s="33">
        <v>2</v>
      </c>
      <c r="J166" s="34">
        <v>0</v>
      </c>
      <c r="K166" s="35">
        <v>0</v>
      </c>
      <c r="L166" s="34">
        <v>0</v>
      </c>
      <c r="M166" s="31" t="s">
        <v>85</v>
      </c>
      <c r="N166" s="36">
        <v>46217</v>
      </c>
      <c r="O166" s="32"/>
    </row>
    <row r="167" spans="1:15" ht="42.75" x14ac:dyDescent="0.25">
      <c r="A167" s="25" t="s">
        <v>408</v>
      </c>
      <c r="B167" s="25" t="s">
        <v>38</v>
      </c>
      <c r="C167" s="26" t="s">
        <v>409</v>
      </c>
      <c r="D167" s="25" t="s">
        <v>83</v>
      </c>
      <c r="E167" s="25"/>
      <c r="F167" s="25" t="s">
        <v>84</v>
      </c>
      <c r="G167" s="27">
        <v>5</v>
      </c>
      <c r="H167" s="27">
        <v>50</v>
      </c>
      <c r="I167" s="27">
        <v>2</v>
      </c>
      <c r="J167" s="28">
        <v>0</v>
      </c>
      <c r="K167" s="29">
        <v>0</v>
      </c>
      <c r="L167" s="28">
        <v>0</v>
      </c>
      <c r="M167" s="25" t="s">
        <v>85</v>
      </c>
      <c r="N167" s="30">
        <v>46217</v>
      </c>
      <c r="O167" s="26"/>
    </row>
    <row r="168" spans="1:15" ht="28.5" x14ac:dyDescent="0.25">
      <c r="A168" s="31" t="s">
        <v>410</v>
      </c>
      <c r="B168" s="31" t="s">
        <v>38</v>
      </c>
      <c r="C168" s="32" t="s">
        <v>411</v>
      </c>
      <c r="D168" s="31" t="s">
        <v>83</v>
      </c>
      <c r="E168" s="31"/>
      <c r="F168" s="31" t="s">
        <v>84</v>
      </c>
      <c r="G168" s="33">
        <v>5</v>
      </c>
      <c r="H168" s="33">
        <v>50</v>
      </c>
      <c r="I168" s="33">
        <v>2</v>
      </c>
      <c r="J168" s="34">
        <v>0</v>
      </c>
      <c r="K168" s="35">
        <v>0</v>
      </c>
      <c r="L168" s="34">
        <v>0</v>
      </c>
      <c r="M168" s="31" t="s">
        <v>85</v>
      </c>
      <c r="N168" s="36">
        <v>46217</v>
      </c>
      <c r="O168" s="32"/>
    </row>
    <row r="169" spans="1:15" ht="28.5" x14ac:dyDescent="0.25">
      <c r="A169" s="25" t="s">
        <v>412</v>
      </c>
      <c r="B169" s="25" t="s">
        <v>38</v>
      </c>
      <c r="C169" s="26" t="s">
        <v>413</v>
      </c>
      <c r="D169" s="25" t="s">
        <v>83</v>
      </c>
      <c r="E169" s="25"/>
      <c r="F169" s="25" t="s">
        <v>84</v>
      </c>
      <c r="G169" s="27">
        <v>5</v>
      </c>
      <c r="H169" s="27">
        <v>50</v>
      </c>
      <c r="I169" s="27">
        <v>2</v>
      </c>
      <c r="J169" s="28">
        <v>0</v>
      </c>
      <c r="K169" s="29">
        <v>0</v>
      </c>
      <c r="L169" s="28">
        <v>0</v>
      </c>
      <c r="M169" s="25" t="s">
        <v>85</v>
      </c>
      <c r="N169" s="30">
        <v>46217</v>
      </c>
      <c r="O169" s="26"/>
    </row>
    <row r="170" spans="1:15" ht="42.75" x14ac:dyDescent="0.25">
      <c r="A170" s="31" t="s">
        <v>414</v>
      </c>
      <c r="B170" s="31" t="s">
        <v>38</v>
      </c>
      <c r="C170" s="32" t="s">
        <v>415</v>
      </c>
      <c r="D170" s="31" t="s">
        <v>83</v>
      </c>
      <c r="E170" s="31"/>
      <c r="F170" s="31" t="s">
        <v>84</v>
      </c>
      <c r="G170" s="33">
        <v>5</v>
      </c>
      <c r="H170" s="33">
        <v>50</v>
      </c>
      <c r="I170" s="33">
        <v>2</v>
      </c>
      <c r="J170" s="34">
        <v>0</v>
      </c>
      <c r="K170" s="35">
        <v>0</v>
      </c>
      <c r="L170" s="34">
        <v>0</v>
      </c>
      <c r="M170" s="31" t="s">
        <v>85</v>
      </c>
      <c r="N170" s="36">
        <v>46217</v>
      </c>
      <c r="O170" s="32"/>
    </row>
    <row r="171" spans="1:15" ht="42.75" x14ac:dyDescent="0.25">
      <c r="A171" s="25" t="s">
        <v>416</v>
      </c>
      <c r="B171" s="25" t="s">
        <v>38</v>
      </c>
      <c r="C171" s="26" t="s">
        <v>417</v>
      </c>
      <c r="D171" s="25" t="s">
        <v>83</v>
      </c>
      <c r="E171" s="25"/>
      <c r="F171" s="25" t="s">
        <v>84</v>
      </c>
      <c r="G171" s="27">
        <v>5</v>
      </c>
      <c r="H171" s="27">
        <v>50</v>
      </c>
      <c r="I171" s="27">
        <v>2</v>
      </c>
      <c r="J171" s="28">
        <v>0</v>
      </c>
      <c r="K171" s="29">
        <v>0</v>
      </c>
      <c r="L171" s="28">
        <v>0</v>
      </c>
      <c r="M171" s="25" t="s">
        <v>85</v>
      </c>
      <c r="N171" s="30">
        <v>46217</v>
      </c>
      <c r="O171" s="26"/>
    </row>
    <row r="172" spans="1:15" ht="28.5" x14ac:dyDescent="0.25">
      <c r="A172" s="31" t="s">
        <v>418</v>
      </c>
      <c r="B172" s="31" t="s">
        <v>38</v>
      </c>
      <c r="C172" s="32" t="s">
        <v>419</v>
      </c>
      <c r="D172" s="31" t="s">
        <v>83</v>
      </c>
      <c r="E172" s="31"/>
      <c r="F172" s="31" t="s">
        <v>84</v>
      </c>
      <c r="G172" s="33">
        <v>5</v>
      </c>
      <c r="H172" s="33">
        <v>50</v>
      </c>
      <c r="I172" s="33">
        <v>2</v>
      </c>
      <c r="J172" s="34">
        <v>0</v>
      </c>
      <c r="K172" s="35">
        <v>0</v>
      </c>
      <c r="L172" s="34">
        <v>0</v>
      </c>
      <c r="M172" s="31" t="s">
        <v>85</v>
      </c>
      <c r="N172" s="36">
        <v>46217</v>
      </c>
      <c r="O172" s="32"/>
    </row>
    <row r="173" spans="1:15" ht="42.75" x14ac:dyDescent="0.25">
      <c r="A173" s="25" t="s">
        <v>420</v>
      </c>
      <c r="B173" s="25" t="s">
        <v>38</v>
      </c>
      <c r="C173" s="26" t="s">
        <v>421</v>
      </c>
      <c r="D173" s="25" t="s">
        <v>83</v>
      </c>
      <c r="E173" s="25"/>
      <c r="F173" s="25" t="s">
        <v>84</v>
      </c>
      <c r="G173" s="27">
        <v>5</v>
      </c>
      <c r="H173" s="27">
        <v>50</v>
      </c>
      <c r="I173" s="27">
        <v>2</v>
      </c>
      <c r="J173" s="28">
        <v>0</v>
      </c>
      <c r="K173" s="29">
        <v>0</v>
      </c>
      <c r="L173" s="28">
        <v>0</v>
      </c>
      <c r="M173" s="25" t="s">
        <v>85</v>
      </c>
      <c r="N173" s="30">
        <v>46217</v>
      </c>
      <c r="O173" s="26"/>
    </row>
    <row r="174" spans="1:15" x14ac:dyDescent="0.25">
      <c r="A174" s="31" t="s">
        <v>422</v>
      </c>
      <c r="B174" s="31" t="s">
        <v>38</v>
      </c>
      <c r="C174" s="32" t="s">
        <v>423</v>
      </c>
      <c r="D174" s="31" t="s">
        <v>83</v>
      </c>
      <c r="E174" s="31"/>
      <c r="F174" s="31" t="s">
        <v>84</v>
      </c>
      <c r="G174" s="33">
        <v>5</v>
      </c>
      <c r="H174" s="33">
        <v>50</v>
      </c>
      <c r="I174" s="33">
        <v>2</v>
      </c>
      <c r="J174" s="34">
        <v>0</v>
      </c>
      <c r="K174" s="35">
        <v>0</v>
      </c>
      <c r="L174" s="34">
        <v>0</v>
      </c>
      <c r="M174" s="31" t="s">
        <v>85</v>
      </c>
      <c r="N174" s="36">
        <v>46217</v>
      </c>
      <c r="O174" s="32"/>
    </row>
    <row r="175" spans="1:15" ht="42.75" x14ac:dyDescent="0.25">
      <c r="A175" s="25" t="s">
        <v>424</v>
      </c>
      <c r="B175" s="25" t="s">
        <v>38</v>
      </c>
      <c r="C175" s="26" t="s">
        <v>425</v>
      </c>
      <c r="D175" s="25" t="s">
        <v>83</v>
      </c>
      <c r="E175" s="25"/>
      <c r="F175" s="25" t="s">
        <v>84</v>
      </c>
      <c r="G175" s="27">
        <v>5</v>
      </c>
      <c r="H175" s="27">
        <v>50</v>
      </c>
      <c r="I175" s="27">
        <v>2</v>
      </c>
      <c r="J175" s="28">
        <v>0</v>
      </c>
      <c r="K175" s="29">
        <v>0</v>
      </c>
      <c r="L175" s="28">
        <v>0</v>
      </c>
      <c r="M175" s="25" t="s">
        <v>85</v>
      </c>
      <c r="N175" s="30">
        <v>46217</v>
      </c>
      <c r="O175" s="26"/>
    </row>
    <row r="176" spans="1:15" ht="28.5" x14ac:dyDescent="0.25">
      <c r="A176" s="31" t="s">
        <v>426</v>
      </c>
      <c r="B176" s="31" t="s">
        <v>38</v>
      </c>
      <c r="C176" s="32" t="s">
        <v>427</v>
      </c>
      <c r="D176" s="31" t="s">
        <v>83</v>
      </c>
      <c r="E176" s="31"/>
      <c r="F176" s="31" t="s">
        <v>84</v>
      </c>
      <c r="G176" s="33">
        <v>5</v>
      </c>
      <c r="H176" s="33">
        <v>50</v>
      </c>
      <c r="I176" s="33">
        <v>2</v>
      </c>
      <c r="J176" s="34">
        <v>0</v>
      </c>
      <c r="K176" s="35">
        <v>0</v>
      </c>
      <c r="L176" s="34">
        <v>0</v>
      </c>
      <c r="M176" s="31" t="s">
        <v>85</v>
      </c>
      <c r="N176" s="36">
        <v>46217</v>
      </c>
      <c r="O176" s="32"/>
    </row>
    <row r="177" spans="1:15" x14ac:dyDescent="0.25">
      <c r="A177" s="25" t="s">
        <v>428</v>
      </c>
      <c r="B177" s="25" t="s">
        <v>38</v>
      </c>
      <c r="C177" s="26" t="s">
        <v>429</v>
      </c>
      <c r="D177" s="25" t="s">
        <v>83</v>
      </c>
      <c r="E177" s="25"/>
      <c r="F177" s="25" t="s">
        <v>84</v>
      </c>
      <c r="G177" s="27">
        <v>5</v>
      </c>
      <c r="H177" s="27">
        <v>50</v>
      </c>
      <c r="I177" s="27">
        <v>2</v>
      </c>
      <c r="J177" s="28">
        <v>0</v>
      </c>
      <c r="K177" s="29">
        <v>0</v>
      </c>
      <c r="L177" s="28">
        <v>0</v>
      </c>
      <c r="M177" s="25" t="s">
        <v>85</v>
      </c>
      <c r="N177" s="30">
        <v>46217</v>
      </c>
      <c r="O177" s="26"/>
    </row>
    <row r="178" spans="1:15" ht="28.5" x14ac:dyDescent="0.25">
      <c r="A178" s="31" t="s">
        <v>430</v>
      </c>
      <c r="B178" s="31" t="s">
        <v>38</v>
      </c>
      <c r="C178" s="32" t="s">
        <v>431</v>
      </c>
      <c r="D178" s="31" t="s">
        <v>83</v>
      </c>
      <c r="E178" s="31"/>
      <c r="F178" s="31" t="s">
        <v>84</v>
      </c>
      <c r="G178" s="33">
        <v>5</v>
      </c>
      <c r="H178" s="33">
        <v>50</v>
      </c>
      <c r="I178" s="33">
        <v>2</v>
      </c>
      <c r="J178" s="34">
        <v>0</v>
      </c>
      <c r="K178" s="35">
        <v>0</v>
      </c>
      <c r="L178" s="34">
        <v>0</v>
      </c>
      <c r="M178" s="31" t="s">
        <v>85</v>
      </c>
      <c r="N178" s="36">
        <v>46217</v>
      </c>
      <c r="O178" s="32"/>
    </row>
    <row r="179" spans="1:15" ht="28.5" x14ac:dyDescent="0.25">
      <c r="A179" s="25" t="s">
        <v>432</v>
      </c>
      <c r="B179" s="25" t="s">
        <v>38</v>
      </c>
      <c r="C179" s="26" t="s">
        <v>433</v>
      </c>
      <c r="D179" s="25" t="s">
        <v>83</v>
      </c>
      <c r="E179" s="25"/>
      <c r="F179" s="25" t="s">
        <v>84</v>
      </c>
      <c r="G179" s="27">
        <v>5</v>
      </c>
      <c r="H179" s="27">
        <v>50</v>
      </c>
      <c r="I179" s="27">
        <v>2</v>
      </c>
      <c r="J179" s="28">
        <v>0</v>
      </c>
      <c r="K179" s="29">
        <v>0</v>
      </c>
      <c r="L179" s="28">
        <v>0</v>
      </c>
      <c r="M179" s="25" t="s">
        <v>85</v>
      </c>
      <c r="N179" s="30">
        <v>46217</v>
      </c>
      <c r="O179" s="26"/>
    </row>
    <row r="180" spans="1:15" ht="28.5" x14ac:dyDescent="0.25">
      <c r="A180" s="31" t="s">
        <v>434</v>
      </c>
      <c r="B180" s="31" t="s">
        <v>38</v>
      </c>
      <c r="C180" s="32" t="s">
        <v>435</v>
      </c>
      <c r="D180" s="31" t="s">
        <v>83</v>
      </c>
      <c r="E180" s="31"/>
      <c r="F180" s="31" t="s">
        <v>84</v>
      </c>
      <c r="G180" s="33">
        <v>5</v>
      </c>
      <c r="H180" s="33">
        <v>50</v>
      </c>
      <c r="I180" s="33">
        <v>2</v>
      </c>
      <c r="J180" s="34">
        <v>0</v>
      </c>
      <c r="K180" s="35">
        <v>0</v>
      </c>
      <c r="L180" s="34">
        <v>0</v>
      </c>
      <c r="M180" s="31" t="s">
        <v>85</v>
      </c>
      <c r="N180" s="36">
        <v>46217</v>
      </c>
      <c r="O180" s="32"/>
    </row>
    <row r="181" spans="1:15" x14ac:dyDescent="0.25">
      <c r="A181" s="25" t="s">
        <v>436</v>
      </c>
      <c r="B181" s="25" t="s">
        <v>38</v>
      </c>
      <c r="C181" s="26" t="s">
        <v>437</v>
      </c>
      <c r="D181" s="25" t="s">
        <v>83</v>
      </c>
      <c r="E181" s="25"/>
      <c r="F181" s="25" t="s">
        <v>84</v>
      </c>
      <c r="G181" s="27">
        <v>5</v>
      </c>
      <c r="H181" s="27">
        <v>50</v>
      </c>
      <c r="I181" s="27">
        <v>2</v>
      </c>
      <c r="J181" s="28">
        <v>0</v>
      </c>
      <c r="K181" s="29">
        <v>0</v>
      </c>
      <c r="L181" s="28">
        <v>0</v>
      </c>
      <c r="M181" s="25" t="s">
        <v>85</v>
      </c>
      <c r="N181" s="30">
        <v>46217</v>
      </c>
      <c r="O181" s="26"/>
    </row>
    <row r="182" spans="1:15" ht="42.75" x14ac:dyDescent="0.25">
      <c r="A182" s="31" t="s">
        <v>438</v>
      </c>
      <c r="B182" s="31" t="s">
        <v>38</v>
      </c>
      <c r="C182" s="32" t="s">
        <v>439</v>
      </c>
      <c r="D182" s="31" t="s">
        <v>83</v>
      </c>
      <c r="E182" s="31"/>
      <c r="F182" s="31" t="s">
        <v>84</v>
      </c>
      <c r="G182" s="33">
        <v>5</v>
      </c>
      <c r="H182" s="33">
        <v>50</v>
      </c>
      <c r="I182" s="33">
        <v>2</v>
      </c>
      <c r="J182" s="34">
        <v>0</v>
      </c>
      <c r="K182" s="35">
        <v>0</v>
      </c>
      <c r="L182" s="34">
        <v>0</v>
      </c>
      <c r="M182" s="31" t="s">
        <v>85</v>
      </c>
      <c r="N182" s="36">
        <v>46217</v>
      </c>
      <c r="O182" s="32"/>
    </row>
    <row r="183" spans="1:15" ht="28.5" x14ac:dyDescent="0.25">
      <c r="A183" s="25" t="s">
        <v>440</v>
      </c>
      <c r="B183" s="25" t="s">
        <v>38</v>
      </c>
      <c r="C183" s="26" t="s">
        <v>441</v>
      </c>
      <c r="D183" s="25" t="s">
        <v>83</v>
      </c>
      <c r="E183" s="25"/>
      <c r="F183" s="25" t="s">
        <v>84</v>
      </c>
      <c r="G183" s="27">
        <v>5</v>
      </c>
      <c r="H183" s="27">
        <v>50</v>
      </c>
      <c r="I183" s="27">
        <v>2</v>
      </c>
      <c r="J183" s="28">
        <v>0</v>
      </c>
      <c r="K183" s="29">
        <v>12</v>
      </c>
      <c r="L183" s="28">
        <v>0</v>
      </c>
      <c r="M183" s="25" t="s">
        <v>85</v>
      </c>
      <c r="N183" s="30">
        <v>46217</v>
      </c>
      <c r="O183" s="26"/>
    </row>
    <row r="184" spans="1:15" x14ac:dyDescent="0.25">
      <c r="A184" s="31" t="s">
        <v>442</v>
      </c>
      <c r="B184" s="31" t="s">
        <v>38</v>
      </c>
      <c r="C184" s="32" t="s">
        <v>443</v>
      </c>
      <c r="D184" s="31" t="s">
        <v>83</v>
      </c>
      <c r="E184" s="31"/>
      <c r="F184" s="31" t="s">
        <v>84</v>
      </c>
      <c r="G184" s="33">
        <v>5</v>
      </c>
      <c r="H184" s="33">
        <v>50</v>
      </c>
      <c r="I184" s="33">
        <v>2</v>
      </c>
      <c r="J184" s="34">
        <v>0</v>
      </c>
      <c r="K184" s="35">
        <v>0</v>
      </c>
      <c r="L184" s="34">
        <v>0</v>
      </c>
      <c r="M184" s="31" t="s">
        <v>85</v>
      </c>
      <c r="N184" s="36">
        <v>46217</v>
      </c>
      <c r="O184" s="32"/>
    </row>
    <row r="185" spans="1:15" ht="28.5" x14ac:dyDescent="0.25">
      <c r="A185" s="25" t="s">
        <v>444</v>
      </c>
      <c r="B185" s="25" t="s">
        <v>38</v>
      </c>
      <c r="C185" s="26" t="s">
        <v>445</v>
      </c>
      <c r="D185" s="25" t="s">
        <v>83</v>
      </c>
      <c r="E185" s="25"/>
      <c r="F185" s="25" t="s">
        <v>84</v>
      </c>
      <c r="G185" s="27">
        <v>5</v>
      </c>
      <c r="H185" s="27">
        <v>50</v>
      </c>
      <c r="I185" s="27">
        <v>2</v>
      </c>
      <c r="J185" s="28">
        <v>0</v>
      </c>
      <c r="K185" s="29">
        <v>0</v>
      </c>
      <c r="L185" s="28">
        <v>0</v>
      </c>
      <c r="M185" s="25" t="s">
        <v>85</v>
      </c>
      <c r="N185" s="30">
        <v>46217</v>
      </c>
      <c r="O185" s="26"/>
    </row>
    <row r="186" spans="1:15" ht="28.5" x14ac:dyDescent="0.25">
      <c r="A186" s="31" t="s">
        <v>446</v>
      </c>
      <c r="B186" s="31" t="s">
        <v>38</v>
      </c>
      <c r="C186" s="32" t="s">
        <v>447</v>
      </c>
      <c r="D186" s="31" t="s">
        <v>83</v>
      </c>
      <c r="E186" s="31"/>
      <c r="F186" s="31" t="s">
        <v>84</v>
      </c>
      <c r="G186" s="33">
        <v>5</v>
      </c>
      <c r="H186" s="33">
        <v>50</v>
      </c>
      <c r="I186" s="33">
        <v>2</v>
      </c>
      <c r="J186" s="34">
        <v>0</v>
      </c>
      <c r="K186" s="35">
        <v>0</v>
      </c>
      <c r="L186" s="34">
        <v>0</v>
      </c>
      <c r="M186" s="31" t="s">
        <v>85</v>
      </c>
      <c r="N186" s="36">
        <v>46217</v>
      </c>
      <c r="O186" s="32"/>
    </row>
    <row r="187" spans="1:15" ht="28.5" x14ac:dyDescent="0.25">
      <c r="A187" s="25" t="s">
        <v>448</v>
      </c>
      <c r="B187" s="25" t="s">
        <v>38</v>
      </c>
      <c r="C187" s="26" t="s">
        <v>449</v>
      </c>
      <c r="D187" s="25" t="s">
        <v>83</v>
      </c>
      <c r="E187" s="25"/>
      <c r="F187" s="25" t="s">
        <v>84</v>
      </c>
      <c r="G187" s="27">
        <v>5</v>
      </c>
      <c r="H187" s="27">
        <v>50</v>
      </c>
      <c r="I187" s="27">
        <v>2</v>
      </c>
      <c r="J187" s="28">
        <v>0</v>
      </c>
      <c r="K187" s="29">
        <v>0</v>
      </c>
      <c r="L187" s="28">
        <v>0</v>
      </c>
      <c r="M187" s="25" t="s">
        <v>85</v>
      </c>
      <c r="N187" s="30">
        <v>46217</v>
      </c>
      <c r="O187" s="26"/>
    </row>
    <row r="188" spans="1:15" ht="28.5" x14ac:dyDescent="0.25">
      <c r="A188" s="31" t="s">
        <v>450</v>
      </c>
      <c r="B188" s="31" t="s">
        <v>38</v>
      </c>
      <c r="C188" s="32" t="s">
        <v>451</v>
      </c>
      <c r="D188" s="31" t="s">
        <v>83</v>
      </c>
      <c r="E188" s="31"/>
      <c r="F188" s="31" t="s">
        <v>84</v>
      </c>
      <c r="G188" s="33">
        <v>5</v>
      </c>
      <c r="H188" s="33">
        <v>50</v>
      </c>
      <c r="I188" s="33">
        <v>2</v>
      </c>
      <c r="J188" s="34">
        <v>0</v>
      </c>
      <c r="K188" s="35">
        <v>0</v>
      </c>
      <c r="L188" s="34">
        <v>0</v>
      </c>
      <c r="M188" s="31" t="s">
        <v>85</v>
      </c>
      <c r="N188" s="36">
        <v>46217</v>
      </c>
      <c r="O188" s="32"/>
    </row>
    <row r="189" spans="1:15" ht="28.5" x14ac:dyDescent="0.25">
      <c r="A189" s="25" t="s">
        <v>452</v>
      </c>
      <c r="B189" s="25" t="s">
        <v>38</v>
      </c>
      <c r="C189" s="26" t="s">
        <v>453</v>
      </c>
      <c r="D189" s="25" t="s">
        <v>83</v>
      </c>
      <c r="E189" s="25"/>
      <c r="F189" s="25" t="s">
        <v>84</v>
      </c>
      <c r="G189" s="27">
        <v>5</v>
      </c>
      <c r="H189" s="27">
        <v>50</v>
      </c>
      <c r="I189" s="27">
        <v>2</v>
      </c>
      <c r="J189" s="28">
        <v>0</v>
      </c>
      <c r="K189" s="29">
        <v>0</v>
      </c>
      <c r="L189" s="28">
        <v>0</v>
      </c>
      <c r="M189" s="25" t="s">
        <v>85</v>
      </c>
      <c r="N189" s="30">
        <v>46217</v>
      </c>
      <c r="O189" s="26"/>
    </row>
    <row r="190" spans="1:15" x14ac:dyDescent="0.25">
      <c r="A190" s="31" t="s">
        <v>454</v>
      </c>
      <c r="B190" s="31" t="s">
        <v>38</v>
      </c>
      <c r="C190" s="32" t="s">
        <v>455</v>
      </c>
      <c r="D190" s="31" t="s">
        <v>83</v>
      </c>
      <c r="E190" s="31"/>
      <c r="F190" s="31" t="s">
        <v>84</v>
      </c>
      <c r="G190" s="33">
        <v>5</v>
      </c>
      <c r="H190" s="33">
        <v>50</v>
      </c>
      <c r="I190" s="33">
        <v>2</v>
      </c>
      <c r="J190" s="34">
        <v>0</v>
      </c>
      <c r="K190" s="35">
        <v>0</v>
      </c>
      <c r="L190" s="34">
        <v>0</v>
      </c>
      <c r="M190" s="31" t="s">
        <v>85</v>
      </c>
      <c r="N190" s="36">
        <v>46217</v>
      </c>
      <c r="O190" s="32"/>
    </row>
    <row r="191" spans="1:15" ht="42.75" x14ac:dyDescent="0.25">
      <c r="A191" s="25" t="s">
        <v>456</v>
      </c>
      <c r="B191" s="25" t="s">
        <v>38</v>
      </c>
      <c r="C191" s="26" t="s">
        <v>457</v>
      </c>
      <c r="D191" s="25" t="s">
        <v>83</v>
      </c>
      <c r="E191" s="25"/>
      <c r="F191" s="25" t="s">
        <v>84</v>
      </c>
      <c r="G191" s="27">
        <v>720</v>
      </c>
      <c r="H191" s="27">
        <v>5400</v>
      </c>
      <c r="I191" s="27">
        <v>360</v>
      </c>
      <c r="J191" s="28">
        <v>0</v>
      </c>
      <c r="K191" s="29">
        <v>3600</v>
      </c>
      <c r="L191" s="28">
        <v>0</v>
      </c>
      <c r="M191" s="25" t="s">
        <v>85</v>
      </c>
      <c r="N191" s="30">
        <v>46217</v>
      </c>
      <c r="O191" s="26"/>
    </row>
    <row r="192" spans="1:15" ht="42.75" x14ac:dyDescent="0.25">
      <c r="A192" s="31" t="s">
        <v>458</v>
      </c>
      <c r="B192" s="31" t="s">
        <v>38</v>
      </c>
      <c r="C192" s="32" t="s">
        <v>459</v>
      </c>
      <c r="D192" s="31" t="s">
        <v>83</v>
      </c>
      <c r="E192" s="31"/>
      <c r="F192" s="31" t="s">
        <v>84</v>
      </c>
      <c r="G192" s="33">
        <v>5</v>
      </c>
      <c r="H192" s="33">
        <v>50</v>
      </c>
      <c r="I192" s="33">
        <v>2</v>
      </c>
      <c r="J192" s="34">
        <v>0</v>
      </c>
      <c r="K192" s="35">
        <v>0</v>
      </c>
      <c r="L192" s="34">
        <v>0</v>
      </c>
      <c r="M192" s="31" t="s">
        <v>85</v>
      </c>
      <c r="N192" s="36">
        <v>46217</v>
      </c>
      <c r="O192" s="32"/>
    </row>
    <row r="193" spans="1:15" ht="28.5" x14ac:dyDescent="0.25">
      <c r="A193" s="25" t="s">
        <v>460</v>
      </c>
      <c r="B193" s="25" t="s">
        <v>38</v>
      </c>
      <c r="C193" s="26" t="s">
        <v>461</v>
      </c>
      <c r="D193" s="25" t="s">
        <v>83</v>
      </c>
      <c r="E193" s="25"/>
      <c r="F193" s="25" t="s">
        <v>84</v>
      </c>
      <c r="G193" s="27">
        <v>5</v>
      </c>
      <c r="H193" s="27">
        <v>50</v>
      </c>
      <c r="I193" s="27">
        <v>2</v>
      </c>
      <c r="J193" s="28">
        <v>0</v>
      </c>
      <c r="K193" s="29">
        <v>0</v>
      </c>
      <c r="L193" s="28">
        <v>0</v>
      </c>
      <c r="M193" s="25" t="s">
        <v>85</v>
      </c>
      <c r="N193" s="30">
        <v>46217</v>
      </c>
      <c r="O193" s="26"/>
    </row>
    <row r="194" spans="1:15" ht="28.5" x14ac:dyDescent="0.25">
      <c r="A194" s="31" t="s">
        <v>462</v>
      </c>
      <c r="B194" s="31" t="s">
        <v>38</v>
      </c>
      <c r="C194" s="32" t="s">
        <v>463</v>
      </c>
      <c r="D194" s="31" t="s">
        <v>83</v>
      </c>
      <c r="E194" s="31"/>
      <c r="F194" s="31" t="s">
        <v>84</v>
      </c>
      <c r="G194" s="33">
        <v>5</v>
      </c>
      <c r="H194" s="33">
        <v>50</v>
      </c>
      <c r="I194" s="33">
        <v>2</v>
      </c>
      <c r="J194" s="34">
        <v>0</v>
      </c>
      <c r="K194" s="35">
        <v>0</v>
      </c>
      <c r="L194" s="34">
        <v>0</v>
      </c>
      <c r="M194" s="31" t="s">
        <v>85</v>
      </c>
      <c r="N194" s="36">
        <v>46217</v>
      </c>
      <c r="O194" s="32"/>
    </row>
    <row r="195" spans="1:15" x14ac:dyDescent="0.25">
      <c r="A195" s="25" t="s">
        <v>464</v>
      </c>
      <c r="B195" s="25" t="s">
        <v>38</v>
      </c>
      <c r="C195" s="26" t="s">
        <v>465</v>
      </c>
      <c r="D195" s="25" t="s">
        <v>83</v>
      </c>
      <c r="E195" s="25"/>
      <c r="F195" s="25" t="s">
        <v>84</v>
      </c>
      <c r="G195" s="27">
        <v>5</v>
      </c>
      <c r="H195" s="27">
        <v>50</v>
      </c>
      <c r="I195" s="27">
        <v>2</v>
      </c>
      <c r="J195" s="28">
        <v>0</v>
      </c>
      <c r="K195" s="29">
        <v>0</v>
      </c>
      <c r="L195" s="28">
        <v>0</v>
      </c>
      <c r="M195" s="25" t="s">
        <v>85</v>
      </c>
      <c r="N195" s="30">
        <v>46217</v>
      </c>
      <c r="O195" s="26"/>
    </row>
    <row r="196" spans="1:15" ht="28.5" x14ac:dyDescent="0.25">
      <c r="A196" s="31" t="s">
        <v>466</v>
      </c>
      <c r="B196" s="31" t="s">
        <v>38</v>
      </c>
      <c r="C196" s="32" t="s">
        <v>467</v>
      </c>
      <c r="D196" s="31" t="s">
        <v>83</v>
      </c>
      <c r="E196" s="31"/>
      <c r="F196" s="31" t="s">
        <v>84</v>
      </c>
      <c r="G196" s="33">
        <v>5</v>
      </c>
      <c r="H196" s="33">
        <v>50</v>
      </c>
      <c r="I196" s="33">
        <v>2</v>
      </c>
      <c r="J196" s="34">
        <v>0</v>
      </c>
      <c r="K196" s="35">
        <v>0</v>
      </c>
      <c r="L196" s="34">
        <v>0</v>
      </c>
      <c r="M196" s="31" t="s">
        <v>85</v>
      </c>
      <c r="N196" s="36">
        <v>46217</v>
      </c>
      <c r="O196" s="32"/>
    </row>
    <row r="197" spans="1:15" ht="28.5" x14ac:dyDescent="0.25">
      <c r="A197" s="25" t="s">
        <v>468</v>
      </c>
      <c r="B197" s="25" t="s">
        <v>38</v>
      </c>
      <c r="C197" s="26" t="s">
        <v>469</v>
      </c>
      <c r="D197" s="25" t="s">
        <v>83</v>
      </c>
      <c r="E197" s="25"/>
      <c r="F197" s="25" t="s">
        <v>84</v>
      </c>
      <c r="G197" s="27">
        <v>5</v>
      </c>
      <c r="H197" s="27">
        <v>50</v>
      </c>
      <c r="I197" s="27">
        <v>2</v>
      </c>
      <c r="J197" s="28">
        <v>0</v>
      </c>
      <c r="K197" s="29">
        <v>0</v>
      </c>
      <c r="L197" s="28">
        <v>0</v>
      </c>
      <c r="M197" s="25" t="s">
        <v>85</v>
      </c>
      <c r="N197" s="30">
        <v>46217</v>
      </c>
      <c r="O197" s="26"/>
    </row>
    <row r="198" spans="1:15" ht="57" x14ac:dyDescent="0.25">
      <c r="A198" s="31" t="s">
        <v>470</v>
      </c>
      <c r="B198" s="31" t="s">
        <v>38</v>
      </c>
      <c r="C198" s="32" t="s">
        <v>471</v>
      </c>
      <c r="D198" s="31" t="s">
        <v>83</v>
      </c>
      <c r="E198" s="31"/>
      <c r="F198" s="31" t="s">
        <v>84</v>
      </c>
      <c r="G198" s="33">
        <v>5</v>
      </c>
      <c r="H198" s="33">
        <v>50</v>
      </c>
      <c r="I198" s="33">
        <v>2</v>
      </c>
      <c r="J198" s="34">
        <v>0</v>
      </c>
      <c r="K198" s="35">
        <v>0</v>
      </c>
      <c r="L198" s="34">
        <v>0</v>
      </c>
      <c r="M198" s="31" t="s">
        <v>85</v>
      </c>
      <c r="N198" s="36">
        <v>46217</v>
      </c>
      <c r="O198" s="32"/>
    </row>
    <row r="199" spans="1:15" ht="28.5" x14ac:dyDescent="0.25">
      <c r="A199" s="25" t="s">
        <v>472</v>
      </c>
      <c r="B199" s="25" t="s">
        <v>38</v>
      </c>
      <c r="C199" s="26" t="s">
        <v>473</v>
      </c>
      <c r="D199" s="25" t="s">
        <v>83</v>
      </c>
      <c r="E199" s="25"/>
      <c r="F199" s="25" t="s">
        <v>84</v>
      </c>
      <c r="G199" s="27">
        <v>5</v>
      </c>
      <c r="H199" s="27">
        <v>50</v>
      </c>
      <c r="I199" s="27">
        <v>2</v>
      </c>
      <c r="J199" s="28">
        <v>0</v>
      </c>
      <c r="K199" s="29">
        <v>0</v>
      </c>
      <c r="L199" s="28">
        <v>0</v>
      </c>
      <c r="M199" s="25" t="s">
        <v>85</v>
      </c>
      <c r="N199" s="30">
        <v>46217</v>
      </c>
      <c r="O199" s="26"/>
    </row>
    <row r="200" spans="1:15" x14ac:dyDescent="0.25">
      <c r="A200" s="31" t="s">
        <v>474</v>
      </c>
      <c r="B200" s="31" t="s">
        <v>40</v>
      </c>
      <c r="C200" s="32" t="s">
        <v>475</v>
      </c>
      <c r="D200" s="31" t="s">
        <v>83</v>
      </c>
      <c r="E200" s="31"/>
      <c r="F200" s="31" t="s">
        <v>84</v>
      </c>
      <c r="G200" s="33">
        <v>5</v>
      </c>
      <c r="H200" s="33">
        <v>50</v>
      </c>
      <c r="I200" s="33">
        <v>2</v>
      </c>
      <c r="J200" s="34">
        <v>0</v>
      </c>
      <c r="K200" s="35">
        <v>0</v>
      </c>
      <c r="L200" s="34">
        <v>0</v>
      </c>
      <c r="M200" s="31" t="s">
        <v>85</v>
      </c>
      <c r="N200" s="36">
        <v>46217</v>
      </c>
      <c r="O200" s="32"/>
    </row>
    <row r="201" spans="1:15" ht="28.5" x14ac:dyDescent="0.25">
      <c r="A201" s="25" t="s">
        <v>476</v>
      </c>
      <c r="B201" s="25" t="s">
        <v>40</v>
      </c>
      <c r="C201" s="26" t="s">
        <v>477</v>
      </c>
      <c r="D201" s="25" t="s">
        <v>83</v>
      </c>
      <c r="E201" s="25"/>
      <c r="F201" s="25" t="s">
        <v>84</v>
      </c>
      <c r="G201" s="27">
        <v>5</v>
      </c>
      <c r="H201" s="27">
        <v>50</v>
      </c>
      <c r="I201" s="27">
        <v>2</v>
      </c>
      <c r="J201" s="28">
        <v>0</v>
      </c>
      <c r="K201" s="29">
        <v>0</v>
      </c>
      <c r="L201" s="28">
        <v>0</v>
      </c>
      <c r="M201" s="25" t="s">
        <v>85</v>
      </c>
      <c r="N201" s="30">
        <v>46217</v>
      </c>
      <c r="O201" s="26"/>
    </row>
    <row r="202" spans="1:15" ht="28.5" x14ac:dyDescent="0.25">
      <c r="A202" s="31" t="s">
        <v>478</v>
      </c>
      <c r="B202" s="31" t="s">
        <v>40</v>
      </c>
      <c r="C202" s="32" t="s">
        <v>479</v>
      </c>
      <c r="D202" s="31" t="s">
        <v>83</v>
      </c>
      <c r="E202" s="31"/>
      <c r="F202" s="31" t="s">
        <v>84</v>
      </c>
      <c r="G202" s="33">
        <v>30</v>
      </c>
      <c r="H202" s="33">
        <v>226</v>
      </c>
      <c r="I202" s="33">
        <v>15</v>
      </c>
      <c r="J202" s="34">
        <v>0</v>
      </c>
      <c r="K202" s="35">
        <v>151</v>
      </c>
      <c r="L202" s="34">
        <v>0</v>
      </c>
      <c r="M202" s="31" t="s">
        <v>85</v>
      </c>
      <c r="N202" s="36">
        <v>46217</v>
      </c>
      <c r="O202" s="32"/>
    </row>
    <row r="203" spans="1:15" x14ac:dyDescent="0.25">
      <c r="A203" s="25" t="s">
        <v>480</v>
      </c>
      <c r="B203" s="25" t="s">
        <v>40</v>
      </c>
      <c r="C203" s="26" t="s">
        <v>481</v>
      </c>
      <c r="D203" s="25" t="s">
        <v>83</v>
      </c>
      <c r="E203" s="25"/>
      <c r="F203" s="25" t="s">
        <v>84</v>
      </c>
      <c r="G203" s="27">
        <v>5</v>
      </c>
      <c r="H203" s="27">
        <v>50</v>
      </c>
      <c r="I203" s="27">
        <v>2</v>
      </c>
      <c r="J203" s="28">
        <v>0</v>
      </c>
      <c r="K203" s="29">
        <v>0</v>
      </c>
      <c r="L203" s="28">
        <v>0</v>
      </c>
      <c r="M203" s="25" t="s">
        <v>85</v>
      </c>
      <c r="N203" s="30">
        <v>46217</v>
      </c>
      <c r="O203" s="26"/>
    </row>
    <row r="204" spans="1:15" x14ac:dyDescent="0.25">
      <c r="A204" s="31" t="s">
        <v>482</v>
      </c>
      <c r="B204" s="31" t="s">
        <v>40</v>
      </c>
      <c r="C204" s="32" t="s">
        <v>483</v>
      </c>
      <c r="D204" s="31" t="s">
        <v>83</v>
      </c>
      <c r="E204" s="31"/>
      <c r="F204" s="31" t="s">
        <v>84</v>
      </c>
      <c r="G204" s="33">
        <v>5</v>
      </c>
      <c r="H204" s="33">
        <v>50</v>
      </c>
      <c r="I204" s="33">
        <v>2</v>
      </c>
      <c r="J204" s="34">
        <v>0</v>
      </c>
      <c r="K204" s="35">
        <v>0</v>
      </c>
      <c r="L204" s="34">
        <v>0</v>
      </c>
      <c r="M204" s="31" t="s">
        <v>85</v>
      </c>
      <c r="N204" s="36">
        <v>46217</v>
      </c>
      <c r="O204" s="32"/>
    </row>
    <row r="205" spans="1:15" ht="42.75" x14ac:dyDescent="0.25">
      <c r="A205" s="25" t="s">
        <v>484</v>
      </c>
      <c r="B205" s="25" t="s">
        <v>40</v>
      </c>
      <c r="C205" s="26" t="s">
        <v>485</v>
      </c>
      <c r="D205" s="25" t="s">
        <v>83</v>
      </c>
      <c r="E205" s="25"/>
      <c r="F205" s="25" t="s">
        <v>84</v>
      </c>
      <c r="G205" s="27">
        <v>5</v>
      </c>
      <c r="H205" s="27">
        <v>50</v>
      </c>
      <c r="I205" s="27">
        <v>2</v>
      </c>
      <c r="J205" s="28">
        <v>0</v>
      </c>
      <c r="K205" s="29">
        <v>0</v>
      </c>
      <c r="L205" s="28">
        <v>0</v>
      </c>
      <c r="M205" s="25" t="s">
        <v>85</v>
      </c>
      <c r="N205" s="30">
        <v>46217</v>
      </c>
      <c r="O205" s="26"/>
    </row>
    <row r="206" spans="1:15" ht="42.75" x14ac:dyDescent="0.25">
      <c r="A206" s="31" t="s">
        <v>486</v>
      </c>
      <c r="B206" s="31" t="s">
        <v>40</v>
      </c>
      <c r="C206" s="32" t="s">
        <v>487</v>
      </c>
      <c r="D206" s="31" t="s">
        <v>83</v>
      </c>
      <c r="E206" s="31"/>
      <c r="F206" s="31" t="s">
        <v>84</v>
      </c>
      <c r="G206" s="33">
        <v>5</v>
      </c>
      <c r="H206" s="33">
        <v>50</v>
      </c>
      <c r="I206" s="33">
        <v>2</v>
      </c>
      <c r="J206" s="34">
        <v>0</v>
      </c>
      <c r="K206" s="35">
        <v>0</v>
      </c>
      <c r="L206" s="34">
        <v>0</v>
      </c>
      <c r="M206" s="31" t="s">
        <v>85</v>
      </c>
      <c r="N206" s="36">
        <v>46217</v>
      </c>
      <c r="O206" s="32"/>
    </row>
    <row r="207" spans="1:15" ht="42.75" x14ac:dyDescent="0.25">
      <c r="A207" s="25" t="s">
        <v>488</v>
      </c>
      <c r="B207" s="25" t="s">
        <v>40</v>
      </c>
      <c r="C207" s="26" t="s">
        <v>489</v>
      </c>
      <c r="D207" s="25" t="s">
        <v>83</v>
      </c>
      <c r="E207" s="25"/>
      <c r="F207" s="25" t="s">
        <v>84</v>
      </c>
      <c r="G207" s="27">
        <v>5</v>
      </c>
      <c r="H207" s="27">
        <v>50</v>
      </c>
      <c r="I207" s="27">
        <v>2</v>
      </c>
      <c r="J207" s="28">
        <v>0</v>
      </c>
      <c r="K207" s="29">
        <v>0</v>
      </c>
      <c r="L207" s="28">
        <v>0</v>
      </c>
      <c r="M207" s="25" t="s">
        <v>85</v>
      </c>
      <c r="N207" s="30">
        <v>46217</v>
      </c>
      <c r="O207" s="26"/>
    </row>
    <row r="208" spans="1:15" ht="28.5" x14ac:dyDescent="0.25">
      <c r="A208" s="31" t="s">
        <v>490</v>
      </c>
      <c r="B208" s="31" t="s">
        <v>40</v>
      </c>
      <c r="C208" s="32" t="s">
        <v>491</v>
      </c>
      <c r="D208" s="31" t="s">
        <v>83</v>
      </c>
      <c r="E208" s="31"/>
      <c r="F208" s="31" t="s">
        <v>84</v>
      </c>
      <c r="G208" s="33">
        <v>5</v>
      </c>
      <c r="H208" s="33">
        <v>50</v>
      </c>
      <c r="I208" s="33">
        <v>2</v>
      </c>
      <c r="J208" s="34">
        <v>0</v>
      </c>
      <c r="K208" s="35">
        <v>0</v>
      </c>
      <c r="L208" s="34">
        <v>0</v>
      </c>
      <c r="M208" s="31" t="s">
        <v>85</v>
      </c>
      <c r="N208" s="36">
        <v>46217</v>
      </c>
      <c r="O208" s="32"/>
    </row>
    <row r="209" spans="1:15" ht="85.5" x14ac:dyDescent="0.25">
      <c r="A209" s="25" t="s">
        <v>492</v>
      </c>
      <c r="B209" s="25" t="s">
        <v>493</v>
      </c>
      <c r="C209" s="26" t="s">
        <v>494</v>
      </c>
      <c r="D209" s="25" t="s">
        <v>83</v>
      </c>
      <c r="E209" s="25"/>
      <c r="F209" s="25" t="s">
        <v>84</v>
      </c>
      <c r="G209" s="27">
        <v>5</v>
      </c>
      <c r="H209" s="27">
        <v>50</v>
      </c>
      <c r="I209" s="27">
        <v>2</v>
      </c>
      <c r="J209" s="28">
        <v>0</v>
      </c>
      <c r="K209" s="29">
        <v>0</v>
      </c>
      <c r="L209" s="28">
        <v>0</v>
      </c>
      <c r="M209" s="25" t="s">
        <v>85</v>
      </c>
      <c r="N209" s="30">
        <v>46217</v>
      </c>
      <c r="O209" s="26" t="s">
        <v>495</v>
      </c>
    </row>
    <row r="210" spans="1:15" ht="85.5" x14ac:dyDescent="0.25">
      <c r="A210" s="31" t="s">
        <v>496</v>
      </c>
      <c r="B210" s="31" t="s">
        <v>493</v>
      </c>
      <c r="C210" s="32" t="s">
        <v>497</v>
      </c>
      <c r="D210" s="31" t="s">
        <v>83</v>
      </c>
      <c r="E210" s="31"/>
      <c r="F210" s="31" t="s">
        <v>84</v>
      </c>
      <c r="G210" s="33">
        <v>5</v>
      </c>
      <c r="H210" s="33">
        <v>50</v>
      </c>
      <c r="I210" s="33">
        <v>2</v>
      </c>
      <c r="J210" s="34">
        <v>0</v>
      </c>
      <c r="K210" s="35">
        <v>0</v>
      </c>
      <c r="L210" s="34">
        <v>0</v>
      </c>
      <c r="M210" s="31" t="s">
        <v>85</v>
      </c>
      <c r="N210" s="36">
        <v>46217</v>
      </c>
      <c r="O210" s="32" t="s">
        <v>495</v>
      </c>
    </row>
    <row r="211" spans="1:15" ht="85.5" x14ac:dyDescent="0.25">
      <c r="A211" s="25" t="s">
        <v>498</v>
      </c>
      <c r="B211" s="25" t="s">
        <v>493</v>
      </c>
      <c r="C211" s="26" t="s">
        <v>427</v>
      </c>
      <c r="D211" s="25" t="s">
        <v>83</v>
      </c>
      <c r="E211" s="25"/>
      <c r="F211" s="25" t="s">
        <v>84</v>
      </c>
      <c r="G211" s="27">
        <v>5</v>
      </c>
      <c r="H211" s="27">
        <v>50</v>
      </c>
      <c r="I211" s="27">
        <v>2</v>
      </c>
      <c r="J211" s="28">
        <v>0</v>
      </c>
      <c r="K211" s="29">
        <v>0</v>
      </c>
      <c r="L211" s="28">
        <v>0</v>
      </c>
      <c r="M211" s="25" t="s">
        <v>85</v>
      </c>
      <c r="N211" s="30">
        <v>46217</v>
      </c>
      <c r="O211" s="26" t="s">
        <v>495</v>
      </c>
    </row>
    <row r="212" spans="1:15" ht="85.5" x14ac:dyDescent="0.25">
      <c r="A212" s="31" t="s">
        <v>499</v>
      </c>
      <c r="B212" s="31" t="s">
        <v>493</v>
      </c>
      <c r="C212" s="32" t="s">
        <v>500</v>
      </c>
      <c r="D212" s="31" t="s">
        <v>83</v>
      </c>
      <c r="E212" s="31"/>
      <c r="F212" s="31" t="s">
        <v>84</v>
      </c>
      <c r="G212" s="33">
        <v>5</v>
      </c>
      <c r="H212" s="33">
        <v>50</v>
      </c>
      <c r="I212" s="33">
        <v>2</v>
      </c>
      <c r="J212" s="34">
        <v>0</v>
      </c>
      <c r="K212" s="35">
        <v>0</v>
      </c>
      <c r="L212" s="34">
        <v>0</v>
      </c>
      <c r="M212" s="31" t="s">
        <v>85</v>
      </c>
      <c r="N212" s="36">
        <v>46217</v>
      </c>
      <c r="O212" s="32" t="s">
        <v>495</v>
      </c>
    </row>
    <row r="213" spans="1:15" ht="85.5" x14ac:dyDescent="0.25">
      <c r="A213" s="25" t="s">
        <v>501</v>
      </c>
      <c r="B213" s="25" t="s">
        <v>493</v>
      </c>
      <c r="C213" s="26" t="s">
        <v>449</v>
      </c>
      <c r="D213" s="25" t="s">
        <v>83</v>
      </c>
      <c r="E213" s="25"/>
      <c r="F213" s="25" t="s">
        <v>84</v>
      </c>
      <c r="G213" s="27">
        <v>5</v>
      </c>
      <c r="H213" s="27">
        <v>50</v>
      </c>
      <c r="I213" s="27">
        <v>2</v>
      </c>
      <c r="J213" s="28">
        <v>0</v>
      </c>
      <c r="K213" s="29">
        <v>0</v>
      </c>
      <c r="L213" s="28">
        <v>0</v>
      </c>
      <c r="M213" s="25" t="s">
        <v>85</v>
      </c>
      <c r="N213" s="30">
        <v>46217</v>
      </c>
      <c r="O213" s="26" t="s">
        <v>495</v>
      </c>
    </row>
    <row r="214" spans="1:15" ht="85.5" x14ac:dyDescent="0.25">
      <c r="A214" s="31" t="s">
        <v>502</v>
      </c>
      <c r="B214" s="31" t="s">
        <v>493</v>
      </c>
      <c r="C214" s="32" t="s">
        <v>503</v>
      </c>
      <c r="D214" s="31" t="s">
        <v>83</v>
      </c>
      <c r="E214" s="31"/>
      <c r="F214" s="31" t="s">
        <v>84</v>
      </c>
      <c r="G214" s="33">
        <v>5</v>
      </c>
      <c r="H214" s="33">
        <v>50</v>
      </c>
      <c r="I214" s="33">
        <v>2</v>
      </c>
      <c r="J214" s="34">
        <v>0</v>
      </c>
      <c r="K214" s="35">
        <v>0</v>
      </c>
      <c r="L214" s="34">
        <v>0</v>
      </c>
      <c r="M214" s="31" t="s">
        <v>85</v>
      </c>
      <c r="N214" s="36">
        <v>46217</v>
      </c>
      <c r="O214" s="32" t="s">
        <v>495</v>
      </c>
    </row>
    <row r="215" spans="1:15" ht="85.5" x14ac:dyDescent="0.25">
      <c r="A215" s="25" t="s">
        <v>504</v>
      </c>
      <c r="B215" s="25" t="s">
        <v>493</v>
      </c>
      <c r="C215" s="26" t="s">
        <v>505</v>
      </c>
      <c r="D215" s="25" t="s">
        <v>83</v>
      </c>
      <c r="E215" s="25"/>
      <c r="F215" s="25" t="s">
        <v>84</v>
      </c>
      <c r="G215" s="27">
        <v>5</v>
      </c>
      <c r="H215" s="27">
        <v>50</v>
      </c>
      <c r="I215" s="27">
        <v>2</v>
      </c>
      <c r="J215" s="28">
        <v>0</v>
      </c>
      <c r="K215" s="29">
        <v>0</v>
      </c>
      <c r="L215" s="28">
        <v>0</v>
      </c>
      <c r="M215" s="25" t="s">
        <v>85</v>
      </c>
      <c r="N215" s="30">
        <v>46217</v>
      </c>
      <c r="O215" s="26" t="s">
        <v>495</v>
      </c>
    </row>
    <row r="216" spans="1:15" ht="85.5" x14ac:dyDescent="0.25">
      <c r="A216" s="31" t="s">
        <v>506</v>
      </c>
      <c r="B216" s="31" t="s">
        <v>493</v>
      </c>
      <c r="C216" s="32" t="s">
        <v>507</v>
      </c>
      <c r="D216" s="31" t="s">
        <v>83</v>
      </c>
      <c r="E216" s="31"/>
      <c r="F216" s="31" t="s">
        <v>84</v>
      </c>
      <c r="G216" s="33">
        <v>5</v>
      </c>
      <c r="H216" s="33">
        <v>50</v>
      </c>
      <c r="I216" s="33">
        <v>2</v>
      </c>
      <c r="J216" s="34">
        <v>0</v>
      </c>
      <c r="K216" s="35">
        <v>0</v>
      </c>
      <c r="L216" s="34">
        <v>0</v>
      </c>
      <c r="M216" s="31" t="s">
        <v>85</v>
      </c>
      <c r="N216" s="36">
        <v>46217</v>
      </c>
      <c r="O216" s="32" t="s">
        <v>495</v>
      </c>
    </row>
    <row r="217" spans="1:15" ht="85.5" x14ac:dyDescent="0.25">
      <c r="A217" s="25" t="s">
        <v>508</v>
      </c>
      <c r="B217" s="25" t="s">
        <v>493</v>
      </c>
      <c r="C217" s="26" t="s">
        <v>509</v>
      </c>
      <c r="D217" s="25" t="s">
        <v>83</v>
      </c>
      <c r="E217" s="25"/>
      <c r="F217" s="25" t="s">
        <v>84</v>
      </c>
      <c r="G217" s="27">
        <v>5</v>
      </c>
      <c r="H217" s="27">
        <v>50</v>
      </c>
      <c r="I217" s="27">
        <v>2</v>
      </c>
      <c r="J217" s="28">
        <v>0</v>
      </c>
      <c r="K217" s="29">
        <v>0</v>
      </c>
      <c r="L217" s="28">
        <v>0</v>
      </c>
      <c r="M217" s="25" t="s">
        <v>85</v>
      </c>
      <c r="N217" s="30">
        <v>46217</v>
      </c>
      <c r="O217" s="26" t="s">
        <v>495</v>
      </c>
    </row>
    <row r="218" spans="1:15" ht="85.5" x14ac:dyDescent="0.25">
      <c r="A218" s="31" t="s">
        <v>510</v>
      </c>
      <c r="B218" s="31" t="s">
        <v>493</v>
      </c>
      <c r="C218" s="32" t="s">
        <v>511</v>
      </c>
      <c r="D218" s="31" t="s">
        <v>83</v>
      </c>
      <c r="E218" s="31"/>
      <c r="F218" s="31" t="s">
        <v>84</v>
      </c>
      <c r="G218" s="33">
        <v>5</v>
      </c>
      <c r="H218" s="33">
        <v>50</v>
      </c>
      <c r="I218" s="33">
        <v>2</v>
      </c>
      <c r="J218" s="34">
        <v>0</v>
      </c>
      <c r="K218" s="35">
        <v>0</v>
      </c>
      <c r="L218" s="34">
        <v>0</v>
      </c>
      <c r="M218" s="31" t="s">
        <v>85</v>
      </c>
      <c r="N218" s="36">
        <v>46217</v>
      </c>
      <c r="O218" s="32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M64"/>
  <sheetViews>
    <sheetView topLeftCell="A3" workbookViewId="0"/>
  </sheetViews>
  <sheetFormatPr baseColWidth="10" defaultRowHeight="15" x14ac:dyDescent="0.25"/>
  <sheetData>
    <row r="1" spans="1:13" ht="20.25" x14ac:dyDescent="0.25">
      <c r="A1" s="22" t="s">
        <v>512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228" x14ac:dyDescent="0.25">
      <c r="A2" s="23" t="s">
        <v>513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3" ht="33" x14ac:dyDescent="0.25">
      <c r="A4" s="24" t="s">
        <v>514</v>
      </c>
      <c r="B4" s="24" t="s">
        <v>515</v>
      </c>
      <c r="C4" s="24" t="s">
        <v>68</v>
      </c>
      <c r="D4" s="24" t="s">
        <v>69</v>
      </c>
      <c r="E4" s="24" t="s">
        <v>516</v>
      </c>
      <c r="F4" s="24" t="s">
        <v>55</v>
      </c>
      <c r="G4" s="24" t="s">
        <v>517</v>
      </c>
      <c r="H4" s="24" t="s">
        <v>518</v>
      </c>
      <c r="I4" s="24" t="s">
        <v>519</v>
      </c>
      <c r="J4" s="24" t="s">
        <v>520</v>
      </c>
      <c r="K4" s="24" t="s">
        <v>521</v>
      </c>
      <c r="L4" s="24" t="s">
        <v>80</v>
      </c>
      <c r="M4" s="24" t="s">
        <v>522</v>
      </c>
    </row>
    <row r="5" spans="1:13" x14ac:dyDescent="0.25">
      <c r="A5" s="37">
        <v>46035</v>
      </c>
      <c r="B5" s="38" t="s">
        <v>523</v>
      </c>
      <c r="C5" s="38" t="s">
        <v>524</v>
      </c>
      <c r="D5" s="39" t="str">
        <f>IFERROR(INDEX(#REF!,MATCH(C5,#REF!,0)),"")</f>
        <v/>
      </c>
      <c r="E5" s="38" t="s">
        <v>525</v>
      </c>
      <c r="F5" s="38" t="s">
        <v>526</v>
      </c>
      <c r="G5" s="38" t="s">
        <v>84</v>
      </c>
      <c r="H5" s="38" t="s">
        <v>527</v>
      </c>
      <c r="I5" s="40">
        <v>10</v>
      </c>
      <c r="J5" s="40">
        <v>0</v>
      </c>
      <c r="K5" s="41">
        <f t="shared" ref="K5:K36" si="0">IF(AND(I5&lt;&gt;"",J5&lt;&gt;""),I5*J5,"")</f>
        <v>0</v>
      </c>
      <c r="L5" s="38" t="s">
        <v>528</v>
      </c>
      <c r="M5" s="25"/>
    </row>
    <row r="6" spans="1:13" x14ac:dyDescent="0.25">
      <c r="A6" s="36"/>
      <c r="B6" s="31"/>
      <c r="C6" s="31"/>
      <c r="D6" s="42" t="str">
        <f>IFERROR(INDEX(#REF!,MATCH(C6,#REF!,0)),"")</f>
        <v/>
      </c>
      <c r="E6" s="31"/>
      <c r="F6" s="31"/>
      <c r="G6" s="31"/>
      <c r="H6" s="31"/>
      <c r="I6" s="35"/>
      <c r="J6" s="35"/>
      <c r="K6" s="43" t="str">
        <f t="shared" si="0"/>
        <v/>
      </c>
      <c r="L6" s="31"/>
      <c r="M6" s="31"/>
    </row>
    <row r="7" spans="1:13" x14ac:dyDescent="0.25">
      <c r="A7" s="30"/>
      <c r="B7" s="25"/>
      <c r="C7" s="25"/>
      <c r="D7" s="44" t="str">
        <f>IFERROR(INDEX(#REF!,MATCH(C7,#REF!,0)),"")</f>
        <v/>
      </c>
      <c r="E7" s="25"/>
      <c r="F7" s="25"/>
      <c r="G7" s="25"/>
      <c r="H7" s="25"/>
      <c r="I7" s="29"/>
      <c r="J7" s="29"/>
      <c r="K7" s="45" t="str">
        <f t="shared" si="0"/>
        <v/>
      </c>
      <c r="L7" s="25"/>
      <c r="M7" s="25"/>
    </row>
    <row r="8" spans="1:13" x14ac:dyDescent="0.25">
      <c r="A8" s="36"/>
      <c r="B8" s="31"/>
      <c r="C8" s="31"/>
      <c r="D8" s="42" t="str">
        <f>IFERROR(INDEX(#REF!,MATCH(C8,#REF!,0)),"")</f>
        <v/>
      </c>
      <c r="E8" s="31"/>
      <c r="F8" s="31"/>
      <c r="G8" s="31"/>
      <c r="H8" s="31"/>
      <c r="I8" s="35"/>
      <c r="J8" s="35"/>
      <c r="K8" s="43" t="str">
        <f t="shared" si="0"/>
        <v/>
      </c>
      <c r="L8" s="31"/>
      <c r="M8" s="31"/>
    </row>
    <row r="9" spans="1:13" x14ac:dyDescent="0.25">
      <c r="A9" s="30"/>
      <c r="B9" s="25"/>
      <c r="C9" s="25"/>
      <c r="D9" s="44" t="str">
        <f>IFERROR(INDEX(#REF!,MATCH(C9,#REF!,0)),"")</f>
        <v/>
      </c>
      <c r="E9" s="25"/>
      <c r="F9" s="25"/>
      <c r="G9" s="25"/>
      <c r="H9" s="25"/>
      <c r="I9" s="29"/>
      <c r="J9" s="29"/>
      <c r="K9" s="45" t="str">
        <f t="shared" si="0"/>
        <v/>
      </c>
      <c r="L9" s="25"/>
      <c r="M9" s="25"/>
    </row>
    <row r="10" spans="1:13" x14ac:dyDescent="0.25">
      <c r="A10" s="36"/>
      <c r="B10" s="31"/>
      <c r="C10" s="31"/>
      <c r="D10" s="42" t="str">
        <f>IFERROR(INDEX(#REF!,MATCH(C10,#REF!,0)),"")</f>
        <v/>
      </c>
      <c r="E10" s="31"/>
      <c r="F10" s="31"/>
      <c r="G10" s="31"/>
      <c r="H10" s="31"/>
      <c r="I10" s="35"/>
      <c r="J10" s="35"/>
      <c r="K10" s="43" t="str">
        <f t="shared" si="0"/>
        <v/>
      </c>
      <c r="L10" s="31"/>
      <c r="M10" s="31"/>
    </row>
    <row r="11" spans="1:13" x14ac:dyDescent="0.25">
      <c r="A11" s="30"/>
      <c r="B11" s="25"/>
      <c r="C11" s="25"/>
      <c r="D11" s="44" t="str">
        <f>IFERROR(INDEX(#REF!,MATCH(C11,#REF!,0)),"")</f>
        <v/>
      </c>
      <c r="E11" s="25"/>
      <c r="F11" s="25"/>
      <c r="G11" s="25"/>
      <c r="H11" s="25"/>
      <c r="I11" s="29"/>
      <c r="J11" s="29"/>
      <c r="K11" s="45" t="str">
        <f t="shared" si="0"/>
        <v/>
      </c>
      <c r="L11" s="25"/>
      <c r="M11" s="25"/>
    </row>
    <row r="12" spans="1:13" x14ac:dyDescent="0.25">
      <c r="A12" s="36"/>
      <c r="B12" s="31"/>
      <c r="C12" s="31"/>
      <c r="D12" s="42" t="str">
        <f>IFERROR(INDEX(#REF!,MATCH(C12,#REF!,0)),"")</f>
        <v/>
      </c>
      <c r="E12" s="31"/>
      <c r="F12" s="31"/>
      <c r="G12" s="31"/>
      <c r="H12" s="31"/>
      <c r="I12" s="35"/>
      <c r="J12" s="35"/>
      <c r="K12" s="43" t="str">
        <f t="shared" si="0"/>
        <v/>
      </c>
      <c r="L12" s="31"/>
      <c r="M12" s="31"/>
    </row>
    <row r="13" spans="1:13" x14ac:dyDescent="0.25">
      <c r="A13" s="30"/>
      <c r="B13" s="25"/>
      <c r="C13" s="25"/>
      <c r="D13" s="44" t="str">
        <f>IFERROR(INDEX(#REF!,MATCH(C13,#REF!,0)),"")</f>
        <v/>
      </c>
      <c r="E13" s="25"/>
      <c r="F13" s="25"/>
      <c r="G13" s="25"/>
      <c r="H13" s="25"/>
      <c r="I13" s="29"/>
      <c r="J13" s="29"/>
      <c r="K13" s="45" t="str">
        <f t="shared" si="0"/>
        <v/>
      </c>
      <c r="L13" s="25"/>
      <c r="M13" s="25"/>
    </row>
    <row r="14" spans="1:13" x14ac:dyDescent="0.25">
      <c r="A14" s="36"/>
      <c r="B14" s="31"/>
      <c r="C14" s="31"/>
      <c r="D14" s="42" t="str">
        <f>IFERROR(INDEX(#REF!,MATCH(C14,#REF!,0)),"")</f>
        <v/>
      </c>
      <c r="E14" s="31"/>
      <c r="F14" s="31"/>
      <c r="G14" s="31"/>
      <c r="H14" s="31"/>
      <c r="I14" s="35"/>
      <c r="J14" s="35"/>
      <c r="K14" s="43" t="str">
        <f t="shared" si="0"/>
        <v/>
      </c>
      <c r="L14" s="31"/>
      <c r="M14" s="31"/>
    </row>
    <row r="15" spans="1:13" x14ac:dyDescent="0.25">
      <c r="A15" s="30"/>
      <c r="B15" s="25"/>
      <c r="C15" s="25"/>
      <c r="D15" s="44" t="str">
        <f>IFERROR(INDEX(#REF!,MATCH(C15,#REF!,0)),"")</f>
        <v/>
      </c>
      <c r="E15" s="25"/>
      <c r="F15" s="25"/>
      <c r="G15" s="25"/>
      <c r="H15" s="25"/>
      <c r="I15" s="29"/>
      <c r="J15" s="29"/>
      <c r="K15" s="45" t="str">
        <f t="shared" si="0"/>
        <v/>
      </c>
      <c r="L15" s="25"/>
      <c r="M15" s="25"/>
    </row>
    <row r="16" spans="1:13" x14ac:dyDescent="0.25">
      <c r="A16" s="36"/>
      <c r="B16" s="31"/>
      <c r="C16" s="31"/>
      <c r="D16" s="42" t="str">
        <f>IFERROR(INDEX(#REF!,MATCH(C16,#REF!,0)),"")</f>
        <v/>
      </c>
      <c r="E16" s="31"/>
      <c r="F16" s="31"/>
      <c r="G16" s="31"/>
      <c r="H16" s="31"/>
      <c r="I16" s="35"/>
      <c r="J16" s="35"/>
      <c r="K16" s="43" t="str">
        <f t="shared" si="0"/>
        <v/>
      </c>
      <c r="L16" s="31"/>
      <c r="M16" s="31"/>
    </row>
    <row r="17" spans="1:13" x14ac:dyDescent="0.25">
      <c r="A17" s="30"/>
      <c r="B17" s="25"/>
      <c r="C17" s="25"/>
      <c r="D17" s="44" t="str">
        <f>IFERROR(INDEX(#REF!,MATCH(C17,#REF!,0)),"")</f>
        <v/>
      </c>
      <c r="E17" s="25"/>
      <c r="F17" s="25"/>
      <c r="G17" s="25"/>
      <c r="H17" s="25"/>
      <c r="I17" s="29"/>
      <c r="J17" s="29"/>
      <c r="K17" s="45" t="str">
        <f t="shared" si="0"/>
        <v/>
      </c>
      <c r="L17" s="25"/>
      <c r="M17" s="25"/>
    </row>
    <row r="18" spans="1:13" x14ac:dyDescent="0.25">
      <c r="A18" s="36"/>
      <c r="B18" s="31"/>
      <c r="C18" s="31"/>
      <c r="D18" s="42" t="str">
        <f>IFERROR(INDEX(#REF!,MATCH(C18,#REF!,0)),"")</f>
        <v/>
      </c>
      <c r="E18" s="31"/>
      <c r="F18" s="31"/>
      <c r="G18" s="31"/>
      <c r="H18" s="31"/>
      <c r="I18" s="35"/>
      <c r="J18" s="35"/>
      <c r="K18" s="43" t="str">
        <f t="shared" si="0"/>
        <v/>
      </c>
      <c r="L18" s="31"/>
      <c r="M18" s="31"/>
    </row>
    <row r="19" spans="1:13" x14ac:dyDescent="0.25">
      <c r="A19" s="30"/>
      <c r="B19" s="25"/>
      <c r="C19" s="25"/>
      <c r="D19" s="44" t="str">
        <f>IFERROR(INDEX(#REF!,MATCH(C19,#REF!,0)),"")</f>
        <v/>
      </c>
      <c r="E19" s="25"/>
      <c r="F19" s="25"/>
      <c r="G19" s="25"/>
      <c r="H19" s="25"/>
      <c r="I19" s="29"/>
      <c r="J19" s="29"/>
      <c r="K19" s="45" t="str">
        <f t="shared" si="0"/>
        <v/>
      </c>
      <c r="L19" s="25"/>
      <c r="M19" s="25"/>
    </row>
    <row r="20" spans="1:13" x14ac:dyDescent="0.25">
      <c r="A20" s="36"/>
      <c r="B20" s="31"/>
      <c r="C20" s="31"/>
      <c r="D20" s="42" t="str">
        <f>IFERROR(INDEX(#REF!,MATCH(C20,#REF!,0)),"")</f>
        <v/>
      </c>
      <c r="E20" s="31"/>
      <c r="F20" s="31"/>
      <c r="G20" s="31"/>
      <c r="H20" s="31"/>
      <c r="I20" s="35"/>
      <c r="J20" s="35"/>
      <c r="K20" s="43" t="str">
        <f t="shared" si="0"/>
        <v/>
      </c>
      <c r="L20" s="31"/>
      <c r="M20" s="31"/>
    </row>
    <row r="21" spans="1:13" x14ac:dyDescent="0.25">
      <c r="A21" s="30"/>
      <c r="B21" s="25"/>
      <c r="C21" s="25"/>
      <c r="D21" s="44" t="str">
        <f>IFERROR(INDEX(#REF!,MATCH(C21,#REF!,0)),"")</f>
        <v/>
      </c>
      <c r="E21" s="25"/>
      <c r="F21" s="25"/>
      <c r="G21" s="25"/>
      <c r="H21" s="25"/>
      <c r="I21" s="29"/>
      <c r="J21" s="29"/>
      <c r="K21" s="45" t="str">
        <f t="shared" si="0"/>
        <v/>
      </c>
      <c r="L21" s="25"/>
      <c r="M21" s="25"/>
    </row>
    <row r="22" spans="1:13" x14ac:dyDescent="0.25">
      <c r="A22" s="36"/>
      <c r="B22" s="31"/>
      <c r="C22" s="31"/>
      <c r="D22" s="42" t="str">
        <f>IFERROR(INDEX(#REF!,MATCH(C22,#REF!,0)),"")</f>
        <v/>
      </c>
      <c r="E22" s="31"/>
      <c r="F22" s="31"/>
      <c r="G22" s="31"/>
      <c r="H22" s="31"/>
      <c r="I22" s="35"/>
      <c r="J22" s="35"/>
      <c r="K22" s="43" t="str">
        <f t="shared" si="0"/>
        <v/>
      </c>
      <c r="L22" s="31"/>
      <c r="M22" s="31"/>
    </row>
    <row r="23" spans="1:13" x14ac:dyDescent="0.25">
      <c r="A23" s="30"/>
      <c r="B23" s="25"/>
      <c r="C23" s="25"/>
      <c r="D23" s="44" t="str">
        <f>IFERROR(INDEX(#REF!,MATCH(C23,#REF!,0)),"")</f>
        <v/>
      </c>
      <c r="E23" s="25"/>
      <c r="F23" s="25"/>
      <c r="G23" s="25"/>
      <c r="H23" s="25"/>
      <c r="I23" s="29"/>
      <c r="J23" s="29"/>
      <c r="K23" s="45" t="str">
        <f t="shared" si="0"/>
        <v/>
      </c>
      <c r="L23" s="25"/>
      <c r="M23" s="25"/>
    </row>
    <row r="24" spans="1:13" x14ac:dyDescent="0.25">
      <c r="A24" s="36"/>
      <c r="B24" s="31"/>
      <c r="C24" s="31"/>
      <c r="D24" s="42" t="str">
        <f>IFERROR(INDEX(#REF!,MATCH(C24,#REF!,0)),"")</f>
        <v/>
      </c>
      <c r="E24" s="31"/>
      <c r="F24" s="31"/>
      <c r="G24" s="31"/>
      <c r="H24" s="31"/>
      <c r="I24" s="35"/>
      <c r="J24" s="35"/>
      <c r="K24" s="43" t="str">
        <f t="shared" si="0"/>
        <v/>
      </c>
      <c r="L24" s="31"/>
      <c r="M24" s="31"/>
    </row>
    <row r="25" spans="1:13" x14ac:dyDescent="0.25">
      <c r="A25" s="30"/>
      <c r="B25" s="25"/>
      <c r="C25" s="25"/>
      <c r="D25" s="44" t="str">
        <f>IFERROR(INDEX(#REF!,MATCH(C25,#REF!,0)),"")</f>
        <v/>
      </c>
      <c r="E25" s="25"/>
      <c r="F25" s="25"/>
      <c r="G25" s="25"/>
      <c r="H25" s="25"/>
      <c r="I25" s="29"/>
      <c r="J25" s="29"/>
      <c r="K25" s="45" t="str">
        <f t="shared" si="0"/>
        <v/>
      </c>
      <c r="L25" s="25"/>
      <c r="M25" s="25"/>
    </row>
    <row r="26" spans="1:13" x14ac:dyDescent="0.25">
      <c r="A26" s="36"/>
      <c r="B26" s="31"/>
      <c r="C26" s="31"/>
      <c r="D26" s="42" t="str">
        <f>IFERROR(INDEX(#REF!,MATCH(C26,#REF!,0)),"")</f>
        <v/>
      </c>
      <c r="E26" s="31"/>
      <c r="F26" s="31"/>
      <c r="G26" s="31"/>
      <c r="H26" s="31"/>
      <c r="I26" s="35"/>
      <c r="J26" s="35"/>
      <c r="K26" s="43" t="str">
        <f t="shared" si="0"/>
        <v/>
      </c>
      <c r="L26" s="31"/>
      <c r="M26" s="31"/>
    </row>
    <row r="27" spans="1:13" x14ac:dyDescent="0.25">
      <c r="A27" s="30"/>
      <c r="B27" s="25"/>
      <c r="C27" s="25"/>
      <c r="D27" s="44" t="str">
        <f>IFERROR(INDEX(#REF!,MATCH(C27,#REF!,0)),"")</f>
        <v/>
      </c>
      <c r="E27" s="25"/>
      <c r="F27" s="25"/>
      <c r="G27" s="25"/>
      <c r="H27" s="25"/>
      <c r="I27" s="29"/>
      <c r="J27" s="29"/>
      <c r="K27" s="45" t="str">
        <f t="shared" si="0"/>
        <v/>
      </c>
      <c r="L27" s="25"/>
      <c r="M27" s="25"/>
    </row>
    <row r="28" spans="1:13" x14ac:dyDescent="0.25">
      <c r="A28" s="36"/>
      <c r="B28" s="31"/>
      <c r="C28" s="31"/>
      <c r="D28" s="42" t="str">
        <f>IFERROR(INDEX(#REF!,MATCH(C28,#REF!,0)),"")</f>
        <v/>
      </c>
      <c r="E28" s="31"/>
      <c r="F28" s="31"/>
      <c r="G28" s="31"/>
      <c r="H28" s="31"/>
      <c r="I28" s="35"/>
      <c r="J28" s="35"/>
      <c r="K28" s="43" t="str">
        <f t="shared" si="0"/>
        <v/>
      </c>
      <c r="L28" s="31"/>
      <c r="M28" s="31"/>
    </row>
    <row r="29" spans="1:13" x14ac:dyDescent="0.25">
      <c r="A29" s="30"/>
      <c r="B29" s="25"/>
      <c r="C29" s="25"/>
      <c r="D29" s="44" t="str">
        <f>IFERROR(INDEX(#REF!,MATCH(C29,#REF!,0)),"")</f>
        <v/>
      </c>
      <c r="E29" s="25"/>
      <c r="F29" s="25"/>
      <c r="G29" s="25"/>
      <c r="H29" s="25"/>
      <c r="I29" s="29"/>
      <c r="J29" s="29"/>
      <c r="K29" s="45" t="str">
        <f t="shared" si="0"/>
        <v/>
      </c>
      <c r="L29" s="25"/>
      <c r="M29" s="25"/>
    </row>
    <row r="30" spans="1:13" x14ac:dyDescent="0.25">
      <c r="A30" s="36"/>
      <c r="B30" s="31"/>
      <c r="C30" s="31"/>
      <c r="D30" s="42" t="str">
        <f>IFERROR(INDEX(#REF!,MATCH(C30,#REF!,0)),"")</f>
        <v/>
      </c>
      <c r="E30" s="31"/>
      <c r="F30" s="31"/>
      <c r="G30" s="31"/>
      <c r="H30" s="31"/>
      <c r="I30" s="35"/>
      <c r="J30" s="35"/>
      <c r="K30" s="43" t="str">
        <f t="shared" si="0"/>
        <v/>
      </c>
      <c r="L30" s="31"/>
      <c r="M30" s="31"/>
    </row>
    <row r="31" spans="1:13" x14ac:dyDescent="0.25">
      <c r="A31" s="30"/>
      <c r="B31" s="25"/>
      <c r="C31" s="25"/>
      <c r="D31" s="44" t="str">
        <f>IFERROR(INDEX(#REF!,MATCH(C31,#REF!,0)),"")</f>
        <v/>
      </c>
      <c r="E31" s="25"/>
      <c r="F31" s="25"/>
      <c r="G31" s="25"/>
      <c r="H31" s="25"/>
      <c r="I31" s="29"/>
      <c r="J31" s="29"/>
      <c r="K31" s="45" t="str">
        <f t="shared" si="0"/>
        <v/>
      </c>
      <c r="L31" s="25"/>
      <c r="M31" s="25"/>
    </row>
    <row r="32" spans="1:13" x14ac:dyDescent="0.25">
      <c r="A32" s="36"/>
      <c r="B32" s="31"/>
      <c r="C32" s="31"/>
      <c r="D32" s="42" t="str">
        <f>IFERROR(INDEX(#REF!,MATCH(C32,#REF!,0)),"")</f>
        <v/>
      </c>
      <c r="E32" s="31"/>
      <c r="F32" s="31"/>
      <c r="G32" s="31"/>
      <c r="H32" s="31"/>
      <c r="I32" s="35"/>
      <c r="J32" s="35"/>
      <c r="K32" s="43" t="str">
        <f t="shared" si="0"/>
        <v/>
      </c>
      <c r="L32" s="31"/>
      <c r="M32" s="31"/>
    </row>
    <row r="33" spans="1:13" x14ac:dyDescent="0.25">
      <c r="A33" s="30"/>
      <c r="B33" s="25"/>
      <c r="C33" s="25"/>
      <c r="D33" s="44" t="str">
        <f>IFERROR(INDEX(#REF!,MATCH(C33,#REF!,0)),"")</f>
        <v/>
      </c>
      <c r="E33" s="25"/>
      <c r="F33" s="25"/>
      <c r="G33" s="25"/>
      <c r="H33" s="25"/>
      <c r="I33" s="29"/>
      <c r="J33" s="29"/>
      <c r="K33" s="45" t="str">
        <f t="shared" si="0"/>
        <v/>
      </c>
      <c r="L33" s="25"/>
      <c r="M33" s="25"/>
    </row>
    <row r="34" spans="1:13" x14ac:dyDescent="0.25">
      <c r="A34" s="36"/>
      <c r="B34" s="31"/>
      <c r="C34" s="31"/>
      <c r="D34" s="42" t="str">
        <f>IFERROR(INDEX(#REF!,MATCH(C34,#REF!,0)),"")</f>
        <v/>
      </c>
      <c r="E34" s="31"/>
      <c r="F34" s="31"/>
      <c r="G34" s="31"/>
      <c r="H34" s="31"/>
      <c r="I34" s="35"/>
      <c r="J34" s="35"/>
      <c r="K34" s="43" t="str">
        <f t="shared" si="0"/>
        <v/>
      </c>
      <c r="L34" s="31"/>
      <c r="M34" s="31"/>
    </row>
    <row r="35" spans="1:13" x14ac:dyDescent="0.25">
      <c r="A35" s="30"/>
      <c r="B35" s="25"/>
      <c r="C35" s="25"/>
      <c r="D35" s="44" t="str">
        <f>IFERROR(INDEX(#REF!,MATCH(C35,#REF!,0)),"")</f>
        <v/>
      </c>
      <c r="E35" s="25"/>
      <c r="F35" s="25"/>
      <c r="G35" s="25"/>
      <c r="H35" s="25"/>
      <c r="I35" s="29"/>
      <c r="J35" s="29"/>
      <c r="K35" s="45" t="str">
        <f t="shared" si="0"/>
        <v/>
      </c>
      <c r="L35" s="25"/>
      <c r="M35" s="25"/>
    </row>
    <row r="36" spans="1:13" x14ac:dyDescent="0.25">
      <c r="A36" s="36"/>
      <c r="B36" s="31"/>
      <c r="C36" s="31"/>
      <c r="D36" s="42" t="str">
        <f>IFERROR(INDEX(#REF!,MATCH(C36,#REF!,0)),"")</f>
        <v/>
      </c>
      <c r="E36" s="31"/>
      <c r="F36" s="31"/>
      <c r="G36" s="31"/>
      <c r="H36" s="31"/>
      <c r="I36" s="35"/>
      <c r="J36" s="35"/>
      <c r="K36" s="43" t="str">
        <f t="shared" si="0"/>
        <v/>
      </c>
      <c r="L36" s="31"/>
      <c r="M36" s="31"/>
    </row>
    <row r="37" spans="1:13" x14ac:dyDescent="0.25">
      <c r="A37" s="30"/>
      <c r="B37" s="25"/>
      <c r="C37" s="25"/>
      <c r="D37" s="44" t="str">
        <f>IFERROR(INDEX(#REF!,MATCH(C37,#REF!,0)),"")</f>
        <v/>
      </c>
      <c r="E37" s="25"/>
      <c r="F37" s="25"/>
      <c r="G37" s="25"/>
      <c r="H37" s="25"/>
      <c r="I37" s="29"/>
      <c r="J37" s="29"/>
      <c r="K37" s="45" t="str">
        <f t="shared" ref="K37:K68" si="1">IF(AND(I37&lt;&gt;"",J37&lt;&gt;""),I37*J37,"")</f>
        <v/>
      </c>
      <c r="L37" s="25"/>
      <c r="M37" s="25"/>
    </row>
    <row r="38" spans="1:13" x14ac:dyDescent="0.25">
      <c r="A38" s="36"/>
      <c r="B38" s="31"/>
      <c r="C38" s="31"/>
      <c r="D38" s="42" t="str">
        <f>IFERROR(INDEX(#REF!,MATCH(C38,#REF!,0)),"")</f>
        <v/>
      </c>
      <c r="E38" s="31"/>
      <c r="F38" s="31"/>
      <c r="G38" s="31"/>
      <c r="H38" s="31"/>
      <c r="I38" s="35"/>
      <c r="J38" s="35"/>
      <c r="K38" s="43" t="str">
        <f t="shared" si="1"/>
        <v/>
      </c>
      <c r="L38" s="31"/>
      <c r="M38" s="31"/>
    </row>
    <row r="39" spans="1:13" x14ac:dyDescent="0.25">
      <c r="A39" s="30"/>
      <c r="B39" s="25"/>
      <c r="C39" s="25"/>
      <c r="D39" s="44" t="str">
        <f>IFERROR(INDEX(#REF!,MATCH(C39,#REF!,0)),"")</f>
        <v/>
      </c>
      <c r="E39" s="25"/>
      <c r="F39" s="25"/>
      <c r="G39" s="25"/>
      <c r="H39" s="25"/>
      <c r="I39" s="29"/>
      <c r="J39" s="29"/>
      <c r="K39" s="45" t="str">
        <f t="shared" si="1"/>
        <v/>
      </c>
      <c r="L39" s="25"/>
      <c r="M39" s="25"/>
    </row>
    <row r="40" spans="1:13" x14ac:dyDescent="0.25">
      <c r="A40" s="36"/>
      <c r="B40" s="31"/>
      <c r="C40" s="31"/>
      <c r="D40" s="42" t="str">
        <f>IFERROR(INDEX(#REF!,MATCH(C40,#REF!,0)),"")</f>
        <v/>
      </c>
      <c r="E40" s="31"/>
      <c r="F40" s="31"/>
      <c r="G40" s="31"/>
      <c r="H40" s="31"/>
      <c r="I40" s="35"/>
      <c r="J40" s="35"/>
      <c r="K40" s="43" t="str">
        <f t="shared" si="1"/>
        <v/>
      </c>
      <c r="L40" s="31"/>
      <c r="M40" s="31"/>
    </row>
    <row r="41" spans="1:13" x14ac:dyDescent="0.25">
      <c r="A41" s="30"/>
      <c r="B41" s="25"/>
      <c r="C41" s="25"/>
      <c r="D41" s="44" t="str">
        <f>IFERROR(INDEX(#REF!,MATCH(C41,#REF!,0)),"")</f>
        <v/>
      </c>
      <c r="E41" s="25"/>
      <c r="F41" s="25"/>
      <c r="G41" s="25"/>
      <c r="H41" s="25"/>
      <c r="I41" s="29"/>
      <c r="J41" s="29"/>
      <c r="K41" s="45" t="str">
        <f t="shared" si="1"/>
        <v/>
      </c>
      <c r="L41" s="25"/>
      <c r="M41" s="25"/>
    </row>
    <row r="42" spans="1:13" x14ac:dyDescent="0.25">
      <c r="A42" s="36"/>
      <c r="B42" s="31"/>
      <c r="C42" s="31"/>
      <c r="D42" s="42" t="str">
        <f>IFERROR(INDEX(#REF!,MATCH(C42,#REF!,0)),"")</f>
        <v/>
      </c>
      <c r="E42" s="31"/>
      <c r="F42" s="31"/>
      <c r="G42" s="31"/>
      <c r="H42" s="31"/>
      <c r="I42" s="35"/>
      <c r="J42" s="35"/>
      <c r="K42" s="43" t="str">
        <f t="shared" si="1"/>
        <v/>
      </c>
      <c r="L42" s="31"/>
      <c r="M42" s="31"/>
    </row>
    <row r="43" spans="1:13" x14ac:dyDescent="0.25">
      <c r="A43" s="30"/>
      <c r="B43" s="25"/>
      <c r="C43" s="25"/>
      <c r="D43" s="44" t="str">
        <f>IFERROR(INDEX(#REF!,MATCH(C43,#REF!,0)),"")</f>
        <v/>
      </c>
      <c r="E43" s="25"/>
      <c r="F43" s="25"/>
      <c r="G43" s="25"/>
      <c r="H43" s="25"/>
      <c r="I43" s="29"/>
      <c r="J43" s="29"/>
      <c r="K43" s="45" t="str">
        <f t="shared" si="1"/>
        <v/>
      </c>
      <c r="L43" s="25"/>
      <c r="M43" s="25"/>
    </row>
    <row r="44" spans="1:13" x14ac:dyDescent="0.25">
      <c r="A44" s="36"/>
      <c r="B44" s="31"/>
      <c r="C44" s="31"/>
      <c r="D44" s="42" t="str">
        <f>IFERROR(INDEX(#REF!,MATCH(C44,#REF!,0)),"")</f>
        <v/>
      </c>
      <c r="E44" s="31"/>
      <c r="F44" s="31"/>
      <c r="G44" s="31"/>
      <c r="H44" s="31"/>
      <c r="I44" s="35"/>
      <c r="J44" s="35"/>
      <c r="K44" s="43" t="str">
        <f t="shared" si="1"/>
        <v/>
      </c>
      <c r="L44" s="31"/>
      <c r="M44" s="31"/>
    </row>
    <row r="45" spans="1:13" x14ac:dyDescent="0.25">
      <c r="A45" s="30"/>
      <c r="B45" s="25"/>
      <c r="C45" s="25"/>
      <c r="D45" s="44" t="str">
        <f>IFERROR(INDEX(#REF!,MATCH(C45,#REF!,0)),"")</f>
        <v/>
      </c>
      <c r="E45" s="25"/>
      <c r="F45" s="25"/>
      <c r="G45" s="25"/>
      <c r="H45" s="25"/>
      <c r="I45" s="29"/>
      <c r="J45" s="29"/>
      <c r="K45" s="45" t="str">
        <f t="shared" si="1"/>
        <v/>
      </c>
      <c r="L45" s="25"/>
      <c r="M45" s="25"/>
    </row>
    <row r="46" spans="1:13" x14ac:dyDescent="0.25">
      <c r="A46" s="36"/>
      <c r="B46" s="31"/>
      <c r="C46" s="31"/>
      <c r="D46" s="42" t="str">
        <f>IFERROR(INDEX(#REF!,MATCH(C46,#REF!,0)),"")</f>
        <v/>
      </c>
      <c r="E46" s="31"/>
      <c r="F46" s="31"/>
      <c r="G46" s="31"/>
      <c r="H46" s="31"/>
      <c r="I46" s="35"/>
      <c r="J46" s="35"/>
      <c r="K46" s="43" t="str">
        <f t="shared" si="1"/>
        <v/>
      </c>
      <c r="L46" s="31"/>
      <c r="M46" s="31"/>
    </row>
    <row r="47" spans="1:13" x14ac:dyDescent="0.25">
      <c r="A47" s="30"/>
      <c r="B47" s="25"/>
      <c r="C47" s="25"/>
      <c r="D47" s="44" t="str">
        <f>IFERROR(INDEX(#REF!,MATCH(C47,#REF!,0)),"")</f>
        <v/>
      </c>
      <c r="E47" s="25"/>
      <c r="F47" s="25"/>
      <c r="G47" s="25"/>
      <c r="H47" s="25"/>
      <c r="I47" s="29"/>
      <c r="J47" s="29"/>
      <c r="K47" s="45" t="str">
        <f t="shared" si="1"/>
        <v/>
      </c>
      <c r="L47" s="25"/>
      <c r="M47" s="25"/>
    </row>
    <row r="48" spans="1:13" x14ac:dyDescent="0.25">
      <c r="A48" s="36"/>
      <c r="B48" s="31"/>
      <c r="C48" s="31"/>
      <c r="D48" s="42" t="str">
        <f>IFERROR(INDEX(#REF!,MATCH(C48,#REF!,0)),"")</f>
        <v/>
      </c>
      <c r="E48" s="31"/>
      <c r="F48" s="31"/>
      <c r="G48" s="31"/>
      <c r="H48" s="31"/>
      <c r="I48" s="35"/>
      <c r="J48" s="35"/>
      <c r="K48" s="43" t="str">
        <f t="shared" si="1"/>
        <v/>
      </c>
      <c r="L48" s="31"/>
      <c r="M48" s="31"/>
    </row>
    <row r="49" spans="1:13" x14ac:dyDescent="0.25">
      <c r="A49" s="30"/>
      <c r="B49" s="25"/>
      <c r="C49" s="25"/>
      <c r="D49" s="44" t="str">
        <f>IFERROR(INDEX(#REF!,MATCH(C49,#REF!,0)),"")</f>
        <v/>
      </c>
      <c r="E49" s="25"/>
      <c r="F49" s="25"/>
      <c r="G49" s="25"/>
      <c r="H49" s="25"/>
      <c r="I49" s="29"/>
      <c r="J49" s="29"/>
      <c r="K49" s="45" t="str">
        <f t="shared" si="1"/>
        <v/>
      </c>
      <c r="L49" s="25"/>
      <c r="M49" s="25"/>
    </row>
    <row r="50" spans="1:13" x14ac:dyDescent="0.25">
      <c r="A50" s="36"/>
      <c r="B50" s="31"/>
      <c r="C50" s="31"/>
      <c r="D50" s="42" t="str">
        <f>IFERROR(INDEX(#REF!,MATCH(C50,#REF!,0)),"")</f>
        <v/>
      </c>
      <c r="E50" s="31"/>
      <c r="F50" s="31"/>
      <c r="G50" s="31"/>
      <c r="H50" s="31"/>
      <c r="I50" s="35"/>
      <c r="J50" s="35"/>
      <c r="K50" s="43" t="str">
        <f t="shared" si="1"/>
        <v/>
      </c>
      <c r="L50" s="31"/>
      <c r="M50" s="31"/>
    </row>
    <row r="51" spans="1:13" x14ac:dyDescent="0.25">
      <c r="A51" s="30"/>
      <c r="B51" s="25"/>
      <c r="C51" s="25"/>
      <c r="D51" s="44" t="str">
        <f>IFERROR(INDEX(#REF!,MATCH(C51,#REF!,0)),"")</f>
        <v/>
      </c>
      <c r="E51" s="25"/>
      <c r="F51" s="25"/>
      <c r="G51" s="25"/>
      <c r="H51" s="25"/>
      <c r="I51" s="29"/>
      <c r="J51" s="29"/>
      <c r="K51" s="45" t="str">
        <f t="shared" si="1"/>
        <v/>
      </c>
      <c r="L51" s="25"/>
      <c r="M51" s="25"/>
    </row>
    <row r="52" spans="1:13" x14ac:dyDescent="0.25">
      <c r="A52" s="36"/>
      <c r="B52" s="31"/>
      <c r="C52" s="31"/>
      <c r="D52" s="42" t="str">
        <f>IFERROR(INDEX(#REF!,MATCH(C52,#REF!,0)),"")</f>
        <v/>
      </c>
      <c r="E52" s="31"/>
      <c r="F52" s="31"/>
      <c r="G52" s="31"/>
      <c r="H52" s="31"/>
      <c r="I52" s="35"/>
      <c r="J52" s="35"/>
      <c r="K52" s="43" t="str">
        <f t="shared" si="1"/>
        <v/>
      </c>
      <c r="L52" s="31"/>
      <c r="M52" s="31"/>
    </row>
    <row r="53" spans="1:13" x14ac:dyDescent="0.25">
      <c r="A53" s="30"/>
      <c r="B53" s="25"/>
      <c r="C53" s="25"/>
      <c r="D53" s="44" t="str">
        <f>IFERROR(INDEX(#REF!,MATCH(C53,#REF!,0)),"")</f>
        <v/>
      </c>
      <c r="E53" s="25"/>
      <c r="F53" s="25"/>
      <c r="G53" s="25"/>
      <c r="H53" s="25"/>
      <c r="I53" s="29"/>
      <c r="J53" s="29"/>
      <c r="K53" s="45" t="str">
        <f t="shared" si="1"/>
        <v/>
      </c>
      <c r="L53" s="25"/>
      <c r="M53" s="25"/>
    </row>
    <row r="54" spans="1:13" x14ac:dyDescent="0.25">
      <c r="A54" s="36"/>
      <c r="B54" s="31"/>
      <c r="C54" s="31"/>
      <c r="D54" s="42" t="str">
        <f>IFERROR(INDEX(#REF!,MATCH(C54,#REF!,0)),"")</f>
        <v/>
      </c>
      <c r="E54" s="31"/>
      <c r="F54" s="31"/>
      <c r="G54" s="31"/>
      <c r="H54" s="31"/>
      <c r="I54" s="35"/>
      <c r="J54" s="35"/>
      <c r="K54" s="43" t="str">
        <f t="shared" si="1"/>
        <v/>
      </c>
      <c r="L54" s="31"/>
      <c r="M54" s="31"/>
    </row>
    <row r="55" spans="1:13" x14ac:dyDescent="0.25">
      <c r="A55" s="30"/>
      <c r="B55" s="25"/>
      <c r="C55" s="25"/>
      <c r="D55" s="44" t="str">
        <f>IFERROR(INDEX(#REF!,MATCH(C55,#REF!,0)),"")</f>
        <v/>
      </c>
      <c r="E55" s="25"/>
      <c r="F55" s="25"/>
      <c r="G55" s="25"/>
      <c r="H55" s="25"/>
      <c r="I55" s="29"/>
      <c r="J55" s="29"/>
      <c r="K55" s="45" t="str">
        <f t="shared" si="1"/>
        <v/>
      </c>
      <c r="L55" s="25"/>
      <c r="M55" s="25"/>
    </row>
    <row r="56" spans="1:13" x14ac:dyDescent="0.25">
      <c r="A56" s="36"/>
      <c r="B56" s="31"/>
      <c r="C56" s="31"/>
      <c r="D56" s="42" t="str">
        <f>IFERROR(INDEX(#REF!,MATCH(C56,#REF!,0)),"")</f>
        <v/>
      </c>
      <c r="E56" s="31"/>
      <c r="F56" s="31"/>
      <c r="G56" s="31"/>
      <c r="H56" s="31"/>
      <c r="I56" s="35"/>
      <c r="J56" s="35"/>
      <c r="K56" s="43" t="str">
        <f t="shared" si="1"/>
        <v/>
      </c>
      <c r="L56" s="31"/>
      <c r="M56" s="31"/>
    </row>
    <row r="57" spans="1:13" x14ac:dyDescent="0.25">
      <c r="A57" s="30"/>
      <c r="B57" s="25"/>
      <c r="C57" s="25"/>
      <c r="D57" s="44" t="str">
        <f>IFERROR(INDEX(#REF!,MATCH(C57,#REF!,0)),"")</f>
        <v/>
      </c>
      <c r="E57" s="25"/>
      <c r="F57" s="25"/>
      <c r="G57" s="25"/>
      <c r="H57" s="25"/>
      <c r="I57" s="29"/>
      <c r="J57" s="29"/>
      <c r="K57" s="45" t="str">
        <f t="shared" si="1"/>
        <v/>
      </c>
      <c r="L57" s="25"/>
      <c r="M57" s="25"/>
    </row>
    <row r="58" spans="1:13" x14ac:dyDescent="0.25">
      <c r="A58" s="36"/>
      <c r="B58" s="31"/>
      <c r="C58" s="31"/>
      <c r="D58" s="42" t="str">
        <f>IFERROR(INDEX(#REF!,MATCH(C58,#REF!,0)),"")</f>
        <v/>
      </c>
      <c r="E58" s="31"/>
      <c r="F58" s="31"/>
      <c r="G58" s="31"/>
      <c r="H58" s="31"/>
      <c r="I58" s="35"/>
      <c r="J58" s="35"/>
      <c r="K58" s="43" t="str">
        <f t="shared" si="1"/>
        <v/>
      </c>
      <c r="L58" s="31"/>
      <c r="M58" s="31"/>
    </row>
    <row r="59" spans="1:13" x14ac:dyDescent="0.25">
      <c r="A59" s="30"/>
      <c r="B59" s="25"/>
      <c r="C59" s="25"/>
      <c r="D59" s="44" t="str">
        <f>IFERROR(INDEX(#REF!,MATCH(C59,#REF!,0)),"")</f>
        <v/>
      </c>
      <c r="E59" s="25"/>
      <c r="F59" s="25"/>
      <c r="G59" s="25"/>
      <c r="H59" s="25"/>
      <c r="I59" s="29"/>
      <c r="J59" s="29"/>
      <c r="K59" s="45" t="str">
        <f t="shared" si="1"/>
        <v/>
      </c>
      <c r="L59" s="25"/>
      <c r="M59" s="25"/>
    </row>
    <row r="60" spans="1:13" x14ac:dyDescent="0.25">
      <c r="A60" s="36"/>
      <c r="B60" s="31"/>
      <c r="C60" s="31"/>
      <c r="D60" s="42" t="str">
        <f>IFERROR(INDEX(#REF!,MATCH(C60,#REF!,0)),"")</f>
        <v/>
      </c>
      <c r="E60" s="31"/>
      <c r="F60" s="31"/>
      <c r="G60" s="31"/>
      <c r="H60" s="31"/>
      <c r="I60" s="35"/>
      <c r="J60" s="35"/>
      <c r="K60" s="43" t="str">
        <f t="shared" si="1"/>
        <v/>
      </c>
      <c r="L60" s="31"/>
      <c r="M60" s="31"/>
    </row>
    <row r="61" spans="1:13" x14ac:dyDescent="0.25">
      <c r="A61" s="30"/>
      <c r="B61" s="25"/>
      <c r="C61" s="25"/>
      <c r="D61" s="44" t="str">
        <f>IFERROR(INDEX(#REF!,MATCH(C61,#REF!,0)),"")</f>
        <v/>
      </c>
      <c r="E61" s="25"/>
      <c r="F61" s="25"/>
      <c r="G61" s="25"/>
      <c r="H61" s="25"/>
      <c r="I61" s="29"/>
      <c r="J61" s="29"/>
      <c r="K61" s="45" t="str">
        <f t="shared" si="1"/>
        <v/>
      </c>
      <c r="L61" s="25"/>
      <c r="M61" s="25"/>
    </row>
    <row r="62" spans="1:13" x14ac:dyDescent="0.25">
      <c r="A62" s="36"/>
      <c r="B62" s="31"/>
      <c r="C62" s="31"/>
      <c r="D62" s="42" t="str">
        <f>IFERROR(INDEX(#REF!,MATCH(C62,#REF!,0)),"")</f>
        <v/>
      </c>
      <c r="E62" s="31"/>
      <c r="F62" s="31"/>
      <c r="G62" s="31"/>
      <c r="H62" s="31"/>
      <c r="I62" s="35"/>
      <c r="J62" s="35"/>
      <c r="K62" s="43" t="str">
        <f t="shared" si="1"/>
        <v/>
      </c>
      <c r="L62" s="31"/>
      <c r="M62" s="31"/>
    </row>
    <row r="63" spans="1:13" x14ac:dyDescent="0.25">
      <c r="A63" s="30"/>
      <c r="B63" s="25"/>
      <c r="C63" s="25"/>
      <c r="D63" s="44" t="str">
        <f>IFERROR(INDEX(#REF!,MATCH(C63,#REF!,0)),"")</f>
        <v/>
      </c>
      <c r="E63" s="25"/>
      <c r="F63" s="25"/>
      <c r="G63" s="25"/>
      <c r="H63" s="25"/>
      <c r="I63" s="29"/>
      <c r="J63" s="29"/>
      <c r="K63" s="45" t="str">
        <f t="shared" si="1"/>
        <v/>
      </c>
      <c r="L63" s="25"/>
      <c r="M63" s="25"/>
    </row>
    <row r="64" spans="1:13" x14ac:dyDescent="0.25">
      <c r="A64" s="36"/>
      <c r="B64" s="31"/>
      <c r="C64" s="31"/>
      <c r="D64" s="42" t="str">
        <f>IFERROR(INDEX(#REF!,MATCH(C64,#REF!,0)),"")</f>
        <v/>
      </c>
      <c r="E64" s="31"/>
      <c r="F64" s="31"/>
      <c r="G64" s="31"/>
      <c r="H64" s="31"/>
      <c r="I64" s="35"/>
      <c r="J64" s="35"/>
      <c r="K64" s="43" t="str">
        <f t="shared" si="1"/>
        <v/>
      </c>
      <c r="L64" s="31"/>
      <c r="M6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M64"/>
  <sheetViews>
    <sheetView workbookViewId="0"/>
  </sheetViews>
  <sheetFormatPr baseColWidth="10" defaultRowHeight="15" x14ac:dyDescent="0.25"/>
  <sheetData>
    <row r="1" spans="1:13" ht="20.25" x14ac:dyDescent="0.25">
      <c r="A1" s="22" t="s">
        <v>529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72" x14ac:dyDescent="0.25">
      <c r="A2" s="23" t="s">
        <v>530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3" ht="33" x14ac:dyDescent="0.25">
      <c r="A4" s="24" t="s">
        <v>514</v>
      </c>
      <c r="B4" s="24" t="s">
        <v>531</v>
      </c>
      <c r="C4" s="24" t="s">
        <v>68</v>
      </c>
      <c r="D4" s="24" t="s">
        <v>69</v>
      </c>
      <c r="E4" s="24" t="s">
        <v>532</v>
      </c>
      <c r="F4" s="24" t="s">
        <v>533</v>
      </c>
      <c r="G4" s="24" t="s">
        <v>534</v>
      </c>
      <c r="H4" s="24" t="s">
        <v>518</v>
      </c>
      <c r="I4" s="24" t="s">
        <v>519</v>
      </c>
      <c r="J4" s="24" t="s">
        <v>535</v>
      </c>
      <c r="K4" s="24" t="s">
        <v>536</v>
      </c>
      <c r="L4" s="24" t="s">
        <v>80</v>
      </c>
      <c r="M4" s="24" t="s">
        <v>522</v>
      </c>
    </row>
    <row r="5" spans="1:13" x14ac:dyDescent="0.25">
      <c r="A5" s="37">
        <v>46036</v>
      </c>
      <c r="B5" s="38" t="s">
        <v>523</v>
      </c>
      <c r="C5" s="38" t="s">
        <v>524</v>
      </c>
      <c r="D5" s="39" t="str">
        <f>IFERROR(INDEX(#REF!,MATCH(C5,#REF!,0)),"")</f>
        <v/>
      </c>
      <c r="E5" s="38" t="s">
        <v>537</v>
      </c>
      <c r="F5" s="38" t="s">
        <v>526</v>
      </c>
      <c r="G5" s="38" t="s">
        <v>538</v>
      </c>
      <c r="H5" s="38" t="s">
        <v>527</v>
      </c>
      <c r="I5" s="40">
        <v>5</v>
      </c>
      <c r="J5" s="38" t="s">
        <v>534</v>
      </c>
      <c r="K5" s="38" t="s">
        <v>539</v>
      </c>
      <c r="L5" s="38" t="s">
        <v>528</v>
      </c>
      <c r="M5" s="25"/>
    </row>
    <row r="6" spans="1:13" x14ac:dyDescent="0.25">
      <c r="A6" s="36"/>
      <c r="B6" s="31"/>
      <c r="C6" s="31"/>
      <c r="D6" s="42" t="str">
        <f>IFERROR(INDEX(#REF!,MATCH(C6,#REF!,0)),"")</f>
        <v/>
      </c>
      <c r="E6" s="31"/>
      <c r="F6" s="31"/>
      <c r="G6" s="31"/>
      <c r="H6" s="31"/>
      <c r="I6" s="35"/>
      <c r="J6" s="31"/>
      <c r="K6" s="31"/>
      <c r="L6" s="31"/>
      <c r="M6" s="31"/>
    </row>
    <row r="7" spans="1:13" x14ac:dyDescent="0.25">
      <c r="A7" s="30"/>
      <c r="B7" s="25"/>
      <c r="C7" s="25"/>
      <c r="D7" s="44" t="str">
        <f>IFERROR(INDEX(#REF!,MATCH(C7,#REF!,0)),"")</f>
        <v/>
      </c>
      <c r="E7" s="25"/>
      <c r="F7" s="25"/>
      <c r="G7" s="25"/>
      <c r="H7" s="25"/>
      <c r="I7" s="29"/>
      <c r="J7" s="25"/>
      <c r="K7" s="25"/>
      <c r="L7" s="25"/>
      <c r="M7" s="25"/>
    </row>
    <row r="8" spans="1:13" x14ac:dyDescent="0.25">
      <c r="A8" s="36"/>
      <c r="B8" s="31"/>
      <c r="C8" s="31"/>
      <c r="D8" s="42" t="str">
        <f>IFERROR(INDEX(#REF!,MATCH(C8,#REF!,0)),"")</f>
        <v/>
      </c>
      <c r="E8" s="31"/>
      <c r="F8" s="31"/>
      <c r="G8" s="31"/>
      <c r="H8" s="31"/>
      <c r="I8" s="35"/>
      <c r="J8" s="31"/>
      <c r="K8" s="31"/>
      <c r="L8" s="31"/>
      <c r="M8" s="31"/>
    </row>
    <row r="9" spans="1:13" x14ac:dyDescent="0.25">
      <c r="A9" s="30"/>
      <c r="B9" s="25"/>
      <c r="C9" s="25"/>
      <c r="D9" s="44" t="str">
        <f>IFERROR(INDEX(#REF!,MATCH(C9,#REF!,0)),"")</f>
        <v/>
      </c>
      <c r="E9" s="25"/>
      <c r="F9" s="25"/>
      <c r="G9" s="25"/>
      <c r="H9" s="25"/>
      <c r="I9" s="29"/>
      <c r="J9" s="25"/>
      <c r="K9" s="25"/>
      <c r="L9" s="25"/>
      <c r="M9" s="25"/>
    </row>
    <row r="10" spans="1:13" x14ac:dyDescent="0.25">
      <c r="A10" s="36"/>
      <c r="B10" s="31"/>
      <c r="C10" s="31"/>
      <c r="D10" s="42" t="str">
        <f>IFERROR(INDEX(#REF!,MATCH(C10,#REF!,0)),"")</f>
        <v/>
      </c>
      <c r="E10" s="31"/>
      <c r="F10" s="31"/>
      <c r="G10" s="31"/>
      <c r="H10" s="31"/>
      <c r="I10" s="35"/>
      <c r="J10" s="31"/>
      <c r="K10" s="31"/>
      <c r="L10" s="31"/>
      <c r="M10" s="31"/>
    </row>
    <row r="11" spans="1:13" x14ac:dyDescent="0.25">
      <c r="A11" s="30"/>
      <c r="B11" s="25"/>
      <c r="C11" s="25"/>
      <c r="D11" s="44" t="str">
        <f>IFERROR(INDEX(#REF!,MATCH(C11,#REF!,0)),"")</f>
        <v/>
      </c>
      <c r="E11" s="25"/>
      <c r="F11" s="25"/>
      <c r="G11" s="25"/>
      <c r="H11" s="25"/>
      <c r="I11" s="29"/>
      <c r="J11" s="25"/>
      <c r="K11" s="25"/>
      <c r="L11" s="25"/>
      <c r="M11" s="25"/>
    </row>
    <row r="12" spans="1:13" x14ac:dyDescent="0.25">
      <c r="A12" s="36"/>
      <c r="B12" s="31"/>
      <c r="C12" s="31"/>
      <c r="D12" s="42" t="str">
        <f>IFERROR(INDEX(#REF!,MATCH(C12,#REF!,0)),"")</f>
        <v/>
      </c>
      <c r="E12" s="31"/>
      <c r="F12" s="31"/>
      <c r="G12" s="31"/>
      <c r="H12" s="31"/>
      <c r="I12" s="35"/>
      <c r="J12" s="31"/>
      <c r="K12" s="31"/>
      <c r="L12" s="31"/>
      <c r="M12" s="31"/>
    </row>
    <row r="13" spans="1:13" x14ac:dyDescent="0.25">
      <c r="A13" s="30"/>
      <c r="B13" s="25"/>
      <c r="C13" s="25"/>
      <c r="D13" s="44" t="str">
        <f>IFERROR(INDEX(#REF!,MATCH(C13,#REF!,0)),"")</f>
        <v/>
      </c>
      <c r="E13" s="25"/>
      <c r="F13" s="25"/>
      <c r="G13" s="25"/>
      <c r="H13" s="25"/>
      <c r="I13" s="29"/>
      <c r="J13" s="25"/>
      <c r="K13" s="25"/>
      <c r="L13" s="25"/>
      <c r="M13" s="25"/>
    </row>
    <row r="14" spans="1:13" x14ac:dyDescent="0.25">
      <c r="A14" s="36"/>
      <c r="B14" s="31"/>
      <c r="C14" s="31"/>
      <c r="D14" s="42" t="str">
        <f>IFERROR(INDEX(#REF!,MATCH(C14,#REF!,0)),"")</f>
        <v/>
      </c>
      <c r="E14" s="31"/>
      <c r="F14" s="31"/>
      <c r="G14" s="31"/>
      <c r="H14" s="31"/>
      <c r="I14" s="35"/>
      <c r="J14" s="31"/>
      <c r="K14" s="31"/>
      <c r="L14" s="31"/>
      <c r="M14" s="31"/>
    </row>
    <row r="15" spans="1:13" x14ac:dyDescent="0.25">
      <c r="A15" s="30"/>
      <c r="B15" s="25"/>
      <c r="C15" s="25"/>
      <c r="D15" s="44" t="str">
        <f>IFERROR(INDEX(#REF!,MATCH(C15,#REF!,0)),"")</f>
        <v/>
      </c>
      <c r="E15" s="25"/>
      <c r="F15" s="25"/>
      <c r="G15" s="25"/>
      <c r="H15" s="25"/>
      <c r="I15" s="29"/>
      <c r="J15" s="25"/>
      <c r="K15" s="25"/>
      <c r="L15" s="25"/>
      <c r="M15" s="25"/>
    </row>
    <row r="16" spans="1:13" x14ac:dyDescent="0.25">
      <c r="A16" s="36"/>
      <c r="B16" s="31"/>
      <c r="C16" s="31"/>
      <c r="D16" s="42" t="str">
        <f>IFERROR(INDEX(#REF!,MATCH(C16,#REF!,0)),"")</f>
        <v/>
      </c>
      <c r="E16" s="31"/>
      <c r="F16" s="31"/>
      <c r="G16" s="31"/>
      <c r="H16" s="31"/>
      <c r="I16" s="35"/>
      <c r="J16" s="31"/>
      <c r="K16" s="31"/>
      <c r="L16" s="31"/>
      <c r="M16" s="31"/>
    </row>
    <row r="17" spans="1:13" x14ac:dyDescent="0.25">
      <c r="A17" s="30"/>
      <c r="B17" s="25"/>
      <c r="C17" s="25"/>
      <c r="D17" s="44" t="str">
        <f>IFERROR(INDEX(#REF!,MATCH(C17,#REF!,0)),"")</f>
        <v/>
      </c>
      <c r="E17" s="25"/>
      <c r="F17" s="25"/>
      <c r="G17" s="25"/>
      <c r="H17" s="25"/>
      <c r="I17" s="29"/>
      <c r="J17" s="25"/>
      <c r="K17" s="25"/>
      <c r="L17" s="25"/>
      <c r="M17" s="25"/>
    </row>
    <row r="18" spans="1:13" x14ac:dyDescent="0.25">
      <c r="A18" s="36"/>
      <c r="B18" s="31"/>
      <c r="C18" s="31"/>
      <c r="D18" s="42" t="str">
        <f>IFERROR(INDEX(#REF!,MATCH(C18,#REF!,0)),"")</f>
        <v/>
      </c>
      <c r="E18" s="31"/>
      <c r="F18" s="31"/>
      <c r="G18" s="31"/>
      <c r="H18" s="31"/>
      <c r="I18" s="35"/>
      <c r="J18" s="31"/>
      <c r="K18" s="31"/>
      <c r="L18" s="31"/>
      <c r="M18" s="31"/>
    </row>
    <row r="19" spans="1:13" x14ac:dyDescent="0.25">
      <c r="A19" s="30"/>
      <c r="B19" s="25"/>
      <c r="C19" s="25"/>
      <c r="D19" s="44" t="str">
        <f>IFERROR(INDEX(#REF!,MATCH(C19,#REF!,0)),"")</f>
        <v/>
      </c>
      <c r="E19" s="25"/>
      <c r="F19" s="25"/>
      <c r="G19" s="25"/>
      <c r="H19" s="25"/>
      <c r="I19" s="29"/>
      <c r="J19" s="25"/>
      <c r="K19" s="25"/>
      <c r="L19" s="25"/>
      <c r="M19" s="25"/>
    </row>
    <row r="20" spans="1:13" x14ac:dyDescent="0.25">
      <c r="A20" s="36"/>
      <c r="B20" s="31"/>
      <c r="C20" s="31"/>
      <c r="D20" s="42" t="str">
        <f>IFERROR(INDEX(#REF!,MATCH(C20,#REF!,0)),"")</f>
        <v/>
      </c>
      <c r="E20" s="31"/>
      <c r="F20" s="31"/>
      <c r="G20" s="31"/>
      <c r="H20" s="31"/>
      <c r="I20" s="35"/>
      <c r="J20" s="31"/>
      <c r="K20" s="31"/>
      <c r="L20" s="31"/>
      <c r="M20" s="31"/>
    </row>
    <row r="21" spans="1:13" x14ac:dyDescent="0.25">
      <c r="A21" s="30"/>
      <c r="B21" s="25"/>
      <c r="C21" s="25"/>
      <c r="D21" s="44" t="str">
        <f>IFERROR(INDEX(#REF!,MATCH(C21,#REF!,0)),"")</f>
        <v/>
      </c>
      <c r="E21" s="25"/>
      <c r="F21" s="25"/>
      <c r="G21" s="25"/>
      <c r="H21" s="25"/>
      <c r="I21" s="29"/>
      <c r="J21" s="25"/>
      <c r="K21" s="25"/>
      <c r="L21" s="25"/>
      <c r="M21" s="25"/>
    </row>
    <row r="22" spans="1:13" x14ac:dyDescent="0.25">
      <c r="A22" s="36"/>
      <c r="B22" s="31"/>
      <c r="C22" s="31"/>
      <c r="D22" s="42" t="str">
        <f>IFERROR(INDEX(#REF!,MATCH(C22,#REF!,0)),"")</f>
        <v/>
      </c>
      <c r="E22" s="31"/>
      <c r="F22" s="31"/>
      <c r="G22" s="31"/>
      <c r="H22" s="31"/>
      <c r="I22" s="35"/>
      <c r="J22" s="31"/>
      <c r="K22" s="31"/>
      <c r="L22" s="31"/>
      <c r="M22" s="31"/>
    </row>
    <row r="23" spans="1:13" x14ac:dyDescent="0.25">
      <c r="A23" s="30"/>
      <c r="B23" s="25"/>
      <c r="C23" s="25"/>
      <c r="D23" s="44" t="str">
        <f>IFERROR(INDEX(#REF!,MATCH(C23,#REF!,0)),"")</f>
        <v/>
      </c>
      <c r="E23" s="25"/>
      <c r="F23" s="25"/>
      <c r="G23" s="25"/>
      <c r="H23" s="25"/>
      <c r="I23" s="29"/>
      <c r="J23" s="25"/>
      <c r="K23" s="25"/>
      <c r="L23" s="25"/>
      <c r="M23" s="25"/>
    </row>
    <row r="24" spans="1:13" x14ac:dyDescent="0.25">
      <c r="A24" s="36"/>
      <c r="B24" s="31"/>
      <c r="C24" s="31"/>
      <c r="D24" s="42" t="str">
        <f>IFERROR(INDEX(#REF!,MATCH(C24,#REF!,0)),"")</f>
        <v/>
      </c>
      <c r="E24" s="31"/>
      <c r="F24" s="31"/>
      <c r="G24" s="31"/>
      <c r="H24" s="31"/>
      <c r="I24" s="35"/>
      <c r="J24" s="31"/>
      <c r="K24" s="31"/>
      <c r="L24" s="31"/>
      <c r="M24" s="31"/>
    </row>
    <row r="25" spans="1:13" x14ac:dyDescent="0.25">
      <c r="A25" s="30"/>
      <c r="B25" s="25"/>
      <c r="C25" s="25"/>
      <c r="D25" s="44" t="str">
        <f>IFERROR(INDEX(#REF!,MATCH(C25,#REF!,0)),"")</f>
        <v/>
      </c>
      <c r="E25" s="25"/>
      <c r="F25" s="25"/>
      <c r="G25" s="25"/>
      <c r="H25" s="25"/>
      <c r="I25" s="29"/>
      <c r="J25" s="25"/>
      <c r="K25" s="25"/>
      <c r="L25" s="25"/>
      <c r="M25" s="25"/>
    </row>
    <row r="26" spans="1:13" x14ac:dyDescent="0.25">
      <c r="A26" s="36"/>
      <c r="B26" s="31"/>
      <c r="C26" s="31"/>
      <c r="D26" s="42" t="str">
        <f>IFERROR(INDEX(#REF!,MATCH(C26,#REF!,0)),"")</f>
        <v/>
      </c>
      <c r="E26" s="31"/>
      <c r="F26" s="31"/>
      <c r="G26" s="31"/>
      <c r="H26" s="31"/>
      <c r="I26" s="35"/>
      <c r="J26" s="31"/>
      <c r="K26" s="31"/>
      <c r="L26" s="31"/>
      <c r="M26" s="31"/>
    </row>
    <row r="27" spans="1:13" x14ac:dyDescent="0.25">
      <c r="A27" s="30"/>
      <c r="B27" s="25"/>
      <c r="C27" s="25"/>
      <c r="D27" s="44" t="str">
        <f>IFERROR(INDEX(#REF!,MATCH(C27,#REF!,0)),"")</f>
        <v/>
      </c>
      <c r="E27" s="25"/>
      <c r="F27" s="25"/>
      <c r="G27" s="25"/>
      <c r="H27" s="25"/>
      <c r="I27" s="29"/>
      <c r="J27" s="25"/>
      <c r="K27" s="25"/>
      <c r="L27" s="25"/>
      <c r="M27" s="25"/>
    </row>
    <row r="28" spans="1:13" x14ac:dyDescent="0.25">
      <c r="A28" s="36"/>
      <c r="B28" s="31"/>
      <c r="C28" s="31"/>
      <c r="D28" s="42" t="str">
        <f>IFERROR(INDEX(#REF!,MATCH(C28,#REF!,0)),"")</f>
        <v/>
      </c>
      <c r="E28" s="31"/>
      <c r="F28" s="31"/>
      <c r="G28" s="31"/>
      <c r="H28" s="31"/>
      <c r="I28" s="35"/>
      <c r="J28" s="31"/>
      <c r="K28" s="31"/>
      <c r="L28" s="31"/>
      <c r="M28" s="31"/>
    </row>
    <row r="29" spans="1:13" x14ac:dyDescent="0.25">
      <c r="A29" s="30"/>
      <c r="B29" s="25"/>
      <c r="C29" s="25"/>
      <c r="D29" s="44" t="str">
        <f>IFERROR(INDEX(#REF!,MATCH(C29,#REF!,0)),"")</f>
        <v/>
      </c>
      <c r="E29" s="25"/>
      <c r="F29" s="25"/>
      <c r="G29" s="25"/>
      <c r="H29" s="25"/>
      <c r="I29" s="29"/>
      <c r="J29" s="25"/>
      <c r="K29" s="25"/>
      <c r="L29" s="25"/>
      <c r="M29" s="25"/>
    </row>
    <row r="30" spans="1:13" x14ac:dyDescent="0.25">
      <c r="A30" s="36"/>
      <c r="B30" s="31"/>
      <c r="C30" s="31"/>
      <c r="D30" s="42" t="str">
        <f>IFERROR(INDEX(#REF!,MATCH(C30,#REF!,0)),"")</f>
        <v/>
      </c>
      <c r="E30" s="31"/>
      <c r="F30" s="31"/>
      <c r="G30" s="31"/>
      <c r="H30" s="31"/>
      <c r="I30" s="35"/>
      <c r="J30" s="31"/>
      <c r="K30" s="31"/>
      <c r="L30" s="31"/>
      <c r="M30" s="31"/>
    </row>
    <row r="31" spans="1:13" x14ac:dyDescent="0.25">
      <c r="A31" s="30"/>
      <c r="B31" s="25"/>
      <c r="C31" s="25"/>
      <c r="D31" s="44" t="str">
        <f>IFERROR(INDEX(#REF!,MATCH(C31,#REF!,0)),"")</f>
        <v/>
      </c>
      <c r="E31" s="25"/>
      <c r="F31" s="25"/>
      <c r="G31" s="25"/>
      <c r="H31" s="25"/>
      <c r="I31" s="29"/>
      <c r="J31" s="25"/>
      <c r="K31" s="25"/>
      <c r="L31" s="25"/>
      <c r="M31" s="25"/>
    </row>
    <row r="32" spans="1:13" x14ac:dyDescent="0.25">
      <c r="A32" s="36"/>
      <c r="B32" s="31"/>
      <c r="C32" s="31"/>
      <c r="D32" s="42" t="str">
        <f>IFERROR(INDEX(#REF!,MATCH(C32,#REF!,0)),"")</f>
        <v/>
      </c>
      <c r="E32" s="31"/>
      <c r="F32" s="31"/>
      <c r="G32" s="31"/>
      <c r="H32" s="31"/>
      <c r="I32" s="35"/>
      <c r="J32" s="31"/>
      <c r="K32" s="31"/>
      <c r="L32" s="31"/>
      <c r="M32" s="31"/>
    </row>
    <row r="33" spans="1:13" x14ac:dyDescent="0.25">
      <c r="A33" s="30"/>
      <c r="B33" s="25"/>
      <c r="C33" s="25"/>
      <c r="D33" s="44" t="str">
        <f>IFERROR(INDEX(#REF!,MATCH(C33,#REF!,0)),"")</f>
        <v/>
      </c>
      <c r="E33" s="25"/>
      <c r="F33" s="25"/>
      <c r="G33" s="25"/>
      <c r="H33" s="25"/>
      <c r="I33" s="29"/>
      <c r="J33" s="25"/>
      <c r="K33" s="25"/>
      <c r="L33" s="25"/>
      <c r="M33" s="25"/>
    </row>
    <row r="34" spans="1:13" x14ac:dyDescent="0.25">
      <c r="A34" s="36"/>
      <c r="B34" s="31"/>
      <c r="C34" s="31"/>
      <c r="D34" s="42" t="str">
        <f>IFERROR(INDEX(#REF!,MATCH(C34,#REF!,0)),"")</f>
        <v/>
      </c>
      <c r="E34" s="31"/>
      <c r="F34" s="31"/>
      <c r="G34" s="31"/>
      <c r="H34" s="31"/>
      <c r="I34" s="35"/>
      <c r="J34" s="31"/>
      <c r="K34" s="31"/>
      <c r="L34" s="31"/>
      <c r="M34" s="31"/>
    </row>
    <row r="35" spans="1:13" x14ac:dyDescent="0.25">
      <c r="A35" s="30"/>
      <c r="B35" s="25"/>
      <c r="C35" s="25"/>
      <c r="D35" s="44" t="str">
        <f>IFERROR(INDEX(#REF!,MATCH(C35,#REF!,0)),"")</f>
        <v/>
      </c>
      <c r="E35" s="25"/>
      <c r="F35" s="25"/>
      <c r="G35" s="25"/>
      <c r="H35" s="25"/>
      <c r="I35" s="29"/>
      <c r="J35" s="25"/>
      <c r="K35" s="25"/>
      <c r="L35" s="25"/>
      <c r="M35" s="25"/>
    </row>
    <row r="36" spans="1:13" x14ac:dyDescent="0.25">
      <c r="A36" s="36"/>
      <c r="B36" s="31"/>
      <c r="C36" s="31"/>
      <c r="D36" s="42" t="str">
        <f>IFERROR(INDEX(#REF!,MATCH(C36,#REF!,0)),"")</f>
        <v/>
      </c>
      <c r="E36" s="31"/>
      <c r="F36" s="31"/>
      <c r="G36" s="31"/>
      <c r="H36" s="31"/>
      <c r="I36" s="35"/>
      <c r="J36" s="31"/>
      <c r="K36" s="31"/>
      <c r="L36" s="31"/>
      <c r="M36" s="31"/>
    </row>
    <row r="37" spans="1:13" x14ac:dyDescent="0.25">
      <c r="A37" s="30"/>
      <c r="B37" s="25"/>
      <c r="C37" s="25"/>
      <c r="D37" s="44" t="str">
        <f>IFERROR(INDEX(#REF!,MATCH(C37,#REF!,0)),"")</f>
        <v/>
      </c>
      <c r="E37" s="25"/>
      <c r="F37" s="25"/>
      <c r="G37" s="25"/>
      <c r="H37" s="25"/>
      <c r="I37" s="29"/>
      <c r="J37" s="25"/>
      <c r="K37" s="25"/>
      <c r="L37" s="25"/>
      <c r="M37" s="25"/>
    </row>
    <row r="38" spans="1:13" x14ac:dyDescent="0.25">
      <c r="A38" s="36"/>
      <c r="B38" s="31"/>
      <c r="C38" s="31"/>
      <c r="D38" s="42" t="str">
        <f>IFERROR(INDEX(#REF!,MATCH(C38,#REF!,0)),"")</f>
        <v/>
      </c>
      <c r="E38" s="31"/>
      <c r="F38" s="31"/>
      <c r="G38" s="31"/>
      <c r="H38" s="31"/>
      <c r="I38" s="35"/>
      <c r="J38" s="31"/>
      <c r="K38" s="31"/>
      <c r="L38" s="31"/>
      <c r="M38" s="31"/>
    </row>
    <row r="39" spans="1:13" x14ac:dyDescent="0.25">
      <c r="A39" s="30"/>
      <c r="B39" s="25"/>
      <c r="C39" s="25"/>
      <c r="D39" s="44" t="str">
        <f>IFERROR(INDEX(#REF!,MATCH(C39,#REF!,0)),"")</f>
        <v/>
      </c>
      <c r="E39" s="25"/>
      <c r="F39" s="25"/>
      <c r="G39" s="25"/>
      <c r="H39" s="25"/>
      <c r="I39" s="29"/>
      <c r="J39" s="25"/>
      <c r="K39" s="25"/>
      <c r="L39" s="25"/>
      <c r="M39" s="25"/>
    </row>
    <row r="40" spans="1:13" x14ac:dyDescent="0.25">
      <c r="A40" s="36"/>
      <c r="B40" s="31"/>
      <c r="C40" s="31"/>
      <c r="D40" s="42" t="str">
        <f>IFERROR(INDEX(#REF!,MATCH(C40,#REF!,0)),"")</f>
        <v/>
      </c>
      <c r="E40" s="31"/>
      <c r="F40" s="31"/>
      <c r="G40" s="31"/>
      <c r="H40" s="31"/>
      <c r="I40" s="35"/>
      <c r="J40" s="31"/>
      <c r="K40" s="31"/>
      <c r="L40" s="31"/>
      <c r="M40" s="31"/>
    </row>
    <row r="41" spans="1:13" x14ac:dyDescent="0.25">
      <c r="A41" s="30"/>
      <c r="B41" s="25"/>
      <c r="C41" s="25"/>
      <c r="D41" s="44" t="str">
        <f>IFERROR(INDEX(#REF!,MATCH(C41,#REF!,0)),"")</f>
        <v/>
      </c>
      <c r="E41" s="25"/>
      <c r="F41" s="25"/>
      <c r="G41" s="25"/>
      <c r="H41" s="25"/>
      <c r="I41" s="29"/>
      <c r="J41" s="25"/>
      <c r="K41" s="25"/>
      <c r="L41" s="25"/>
      <c r="M41" s="25"/>
    </row>
    <row r="42" spans="1:13" x14ac:dyDescent="0.25">
      <c r="A42" s="36"/>
      <c r="B42" s="31"/>
      <c r="C42" s="31"/>
      <c r="D42" s="42" t="str">
        <f>IFERROR(INDEX(#REF!,MATCH(C42,#REF!,0)),"")</f>
        <v/>
      </c>
      <c r="E42" s="31"/>
      <c r="F42" s="31"/>
      <c r="G42" s="31"/>
      <c r="H42" s="31"/>
      <c r="I42" s="35"/>
      <c r="J42" s="31"/>
      <c r="K42" s="31"/>
      <c r="L42" s="31"/>
      <c r="M42" s="31"/>
    </row>
    <row r="43" spans="1:13" x14ac:dyDescent="0.25">
      <c r="A43" s="30"/>
      <c r="B43" s="25"/>
      <c r="C43" s="25"/>
      <c r="D43" s="44" t="str">
        <f>IFERROR(INDEX(#REF!,MATCH(C43,#REF!,0)),"")</f>
        <v/>
      </c>
      <c r="E43" s="25"/>
      <c r="F43" s="25"/>
      <c r="G43" s="25"/>
      <c r="H43" s="25"/>
      <c r="I43" s="29"/>
      <c r="J43" s="25"/>
      <c r="K43" s="25"/>
      <c r="L43" s="25"/>
      <c r="M43" s="25"/>
    </row>
    <row r="44" spans="1:13" x14ac:dyDescent="0.25">
      <c r="A44" s="36"/>
      <c r="B44" s="31"/>
      <c r="C44" s="31"/>
      <c r="D44" s="42" t="str">
        <f>IFERROR(INDEX(#REF!,MATCH(C44,#REF!,0)),"")</f>
        <v/>
      </c>
      <c r="E44" s="31"/>
      <c r="F44" s="31"/>
      <c r="G44" s="31"/>
      <c r="H44" s="31"/>
      <c r="I44" s="35"/>
      <c r="J44" s="31"/>
      <c r="K44" s="31"/>
      <c r="L44" s="31"/>
      <c r="M44" s="31"/>
    </row>
    <row r="45" spans="1:13" x14ac:dyDescent="0.25">
      <c r="A45" s="30"/>
      <c r="B45" s="25"/>
      <c r="C45" s="25"/>
      <c r="D45" s="44" t="str">
        <f>IFERROR(INDEX(#REF!,MATCH(C45,#REF!,0)),"")</f>
        <v/>
      </c>
      <c r="E45" s="25"/>
      <c r="F45" s="25"/>
      <c r="G45" s="25"/>
      <c r="H45" s="25"/>
      <c r="I45" s="29"/>
      <c r="J45" s="25"/>
      <c r="K45" s="25"/>
      <c r="L45" s="25"/>
      <c r="M45" s="25"/>
    </row>
    <row r="46" spans="1:13" x14ac:dyDescent="0.25">
      <c r="A46" s="36"/>
      <c r="B46" s="31"/>
      <c r="C46" s="31"/>
      <c r="D46" s="42" t="str">
        <f>IFERROR(INDEX(#REF!,MATCH(C46,#REF!,0)),"")</f>
        <v/>
      </c>
      <c r="E46" s="31"/>
      <c r="F46" s="31"/>
      <c r="G46" s="31"/>
      <c r="H46" s="31"/>
      <c r="I46" s="35"/>
      <c r="J46" s="31"/>
      <c r="K46" s="31"/>
      <c r="L46" s="31"/>
      <c r="M46" s="31"/>
    </row>
    <row r="47" spans="1:13" x14ac:dyDescent="0.25">
      <c r="A47" s="30"/>
      <c r="B47" s="25"/>
      <c r="C47" s="25"/>
      <c r="D47" s="44" t="str">
        <f>IFERROR(INDEX(#REF!,MATCH(C47,#REF!,0)),"")</f>
        <v/>
      </c>
      <c r="E47" s="25"/>
      <c r="F47" s="25"/>
      <c r="G47" s="25"/>
      <c r="H47" s="25"/>
      <c r="I47" s="29"/>
      <c r="J47" s="25"/>
      <c r="K47" s="25"/>
      <c r="L47" s="25"/>
      <c r="M47" s="25"/>
    </row>
    <row r="48" spans="1:13" x14ac:dyDescent="0.25">
      <c r="A48" s="36"/>
      <c r="B48" s="31"/>
      <c r="C48" s="31"/>
      <c r="D48" s="42" t="str">
        <f>IFERROR(INDEX(#REF!,MATCH(C48,#REF!,0)),"")</f>
        <v/>
      </c>
      <c r="E48" s="31"/>
      <c r="F48" s="31"/>
      <c r="G48" s="31"/>
      <c r="H48" s="31"/>
      <c r="I48" s="35"/>
      <c r="J48" s="31"/>
      <c r="K48" s="31"/>
      <c r="L48" s="31"/>
      <c r="M48" s="31"/>
    </row>
    <row r="49" spans="1:13" x14ac:dyDescent="0.25">
      <c r="A49" s="30"/>
      <c r="B49" s="25"/>
      <c r="C49" s="25"/>
      <c r="D49" s="44" t="str">
        <f>IFERROR(INDEX(#REF!,MATCH(C49,#REF!,0)),"")</f>
        <v/>
      </c>
      <c r="E49" s="25"/>
      <c r="F49" s="25"/>
      <c r="G49" s="25"/>
      <c r="H49" s="25"/>
      <c r="I49" s="29"/>
      <c r="J49" s="25"/>
      <c r="K49" s="25"/>
      <c r="L49" s="25"/>
      <c r="M49" s="25"/>
    </row>
    <row r="50" spans="1:13" x14ac:dyDescent="0.25">
      <c r="A50" s="36"/>
      <c r="B50" s="31"/>
      <c r="C50" s="31"/>
      <c r="D50" s="42" t="str">
        <f>IFERROR(INDEX(#REF!,MATCH(C50,#REF!,0)),"")</f>
        <v/>
      </c>
      <c r="E50" s="31"/>
      <c r="F50" s="31"/>
      <c r="G50" s="31"/>
      <c r="H50" s="31"/>
      <c r="I50" s="35"/>
      <c r="J50" s="31"/>
      <c r="K50" s="31"/>
      <c r="L50" s="31"/>
      <c r="M50" s="31"/>
    </row>
    <row r="51" spans="1:13" x14ac:dyDescent="0.25">
      <c r="A51" s="30"/>
      <c r="B51" s="25"/>
      <c r="C51" s="25"/>
      <c r="D51" s="44" t="str">
        <f>IFERROR(INDEX(#REF!,MATCH(C51,#REF!,0)),"")</f>
        <v/>
      </c>
      <c r="E51" s="25"/>
      <c r="F51" s="25"/>
      <c r="G51" s="25"/>
      <c r="H51" s="25"/>
      <c r="I51" s="29"/>
      <c r="J51" s="25"/>
      <c r="K51" s="25"/>
      <c r="L51" s="25"/>
      <c r="M51" s="25"/>
    </row>
    <row r="52" spans="1:13" x14ac:dyDescent="0.25">
      <c r="A52" s="36"/>
      <c r="B52" s="31"/>
      <c r="C52" s="31"/>
      <c r="D52" s="42" t="str">
        <f>IFERROR(INDEX(#REF!,MATCH(C52,#REF!,0)),"")</f>
        <v/>
      </c>
      <c r="E52" s="31"/>
      <c r="F52" s="31"/>
      <c r="G52" s="31"/>
      <c r="H52" s="31"/>
      <c r="I52" s="35"/>
      <c r="J52" s="31"/>
      <c r="K52" s="31"/>
      <c r="L52" s="31"/>
      <c r="M52" s="31"/>
    </row>
    <row r="53" spans="1:13" x14ac:dyDescent="0.25">
      <c r="A53" s="30"/>
      <c r="B53" s="25"/>
      <c r="C53" s="25"/>
      <c r="D53" s="44" t="str">
        <f>IFERROR(INDEX(#REF!,MATCH(C53,#REF!,0)),"")</f>
        <v/>
      </c>
      <c r="E53" s="25"/>
      <c r="F53" s="25"/>
      <c r="G53" s="25"/>
      <c r="H53" s="25"/>
      <c r="I53" s="29"/>
      <c r="J53" s="25"/>
      <c r="K53" s="25"/>
      <c r="L53" s="25"/>
      <c r="M53" s="25"/>
    </row>
    <row r="54" spans="1:13" x14ac:dyDescent="0.25">
      <c r="A54" s="36"/>
      <c r="B54" s="31"/>
      <c r="C54" s="31"/>
      <c r="D54" s="42" t="str">
        <f>IFERROR(INDEX(#REF!,MATCH(C54,#REF!,0)),"")</f>
        <v/>
      </c>
      <c r="E54" s="31"/>
      <c r="F54" s="31"/>
      <c r="G54" s="31"/>
      <c r="H54" s="31"/>
      <c r="I54" s="35"/>
      <c r="J54" s="31"/>
      <c r="K54" s="31"/>
      <c r="L54" s="31"/>
      <c r="M54" s="31"/>
    </row>
    <row r="55" spans="1:13" x14ac:dyDescent="0.25">
      <c r="A55" s="30"/>
      <c r="B55" s="25"/>
      <c r="C55" s="25"/>
      <c r="D55" s="44" t="str">
        <f>IFERROR(INDEX(#REF!,MATCH(C55,#REF!,0)),"")</f>
        <v/>
      </c>
      <c r="E55" s="25"/>
      <c r="F55" s="25"/>
      <c r="G55" s="25"/>
      <c r="H55" s="25"/>
      <c r="I55" s="29"/>
      <c r="J55" s="25"/>
      <c r="K55" s="25"/>
      <c r="L55" s="25"/>
      <c r="M55" s="25"/>
    </row>
    <row r="56" spans="1:13" x14ac:dyDescent="0.25">
      <c r="A56" s="36"/>
      <c r="B56" s="31"/>
      <c r="C56" s="31"/>
      <c r="D56" s="42" t="str">
        <f>IFERROR(INDEX(#REF!,MATCH(C56,#REF!,0)),"")</f>
        <v/>
      </c>
      <c r="E56" s="31"/>
      <c r="F56" s="31"/>
      <c r="G56" s="31"/>
      <c r="H56" s="31"/>
      <c r="I56" s="35"/>
      <c r="J56" s="31"/>
      <c r="K56" s="31"/>
      <c r="L56" s="31"/>
      <c r="M56" s="31"/>
    </row>
    <row r="57" spans="1:13" x14ac:dyDescent="0.25">
      <c r="A57" s="30"/>
      <c r="B57" s="25"/>
      <c r="C57" s="25"/>
      <c r="D57" s="44" t="str">
        <f>IFERROR(INDEX(#REF!,MATCH(C57,#REF!,0)),"")</f>
        <v/>
      </c>
      <c r="E57" s="25"/>
      <c r="F57" s="25"/>
      <c r="G57" s="25"/>
      <c r="H57" s="25"/>
      <c r="I57" s="29"/>
      <c r="J57" s="25"/>
      <c r="K57" s="25"/>
      <c r="L57" s="25"/>
      <c r="M57" s="25"/>
    </row>
    <row r="58" spans="1:13" x14ac:dyDescent="0.25">
      <c r="A58" s="36"/>
      <c r="B58" s="31"/>
      <c r="C58" s="31"/>
      <c r="D58" s="42" t="str">
        <f>IFERROR(INDEX(#REF!,MATCH(C58,#REF!,0)),"")</f>
        <v/>
      </c>
      <c r="E58" s="31"/>
      <c r="F58" s="31"/>
      <c r="G58" s="31"/>
      <c r="H58" s="31"/>
      <c r="I58" s="35"/>
      <c r="J58" s="31"/>
      <c r="K58" s="31"/>
      <c r="L58" s="31"/>
      <c r="M58" s="31"/>
    </row>
    <row r="59" spans="1:13" x14ac:dyDescent="0.25">
      <c r="A59" s="30"/>
      <c r="B59" s="25"/>
      <c r="C59" s="25"/>
      <c r="D59" s="44" t="str">
        <f>IFERROR(INDEX(#REF!,MATCH(C59,#REF!,0)),"")</f>
        <v/>
      </c>
      <c r="E59" s="25"/>
      <c r="F59" s="25"/>
      <c r="G59" s="25"/>
      <c r="H59" s="25"/>
      <c r="I59" s="29"/>
      <c r="J59" s="25"/>
      <c r="K59" s="25"/>
      <c r="L59" s="25"/>
      <c r="M59" s="25"/>
    </row>
    <row r="60" spans="1:13" x14ac:dyDescent="0.25">
      <c r="A60" s="36"/>
      <c r="B60" s="31"/>
      <c r="C60" s="31"/>
      <c r="D60" s="42" t="str">
        <f>IFERROR(INDEX(#REF!,MATCH(C60,#REF!,0)),"")</f>
        <v/>
      </c>
      <c r="E60" s="31"/>
      <c r="F60" s="31"/>
      <c r="G60" s="31"/>
      <c r="H60" s="31"/>
      <c r="I60" s="35"/>
      <c r="J60" s="31"/>
      <c r="K60" s="31"/>
      <c r="L60" s="31"/>
      <c r="M60" s="31"/>
    </row>
    <row r="61" spans="1:13" x14ac:dyDescent="0.25">
      <c r="A61" s="30"/>
      <c r="B61" s="25"/>
      <c r="C61" s="25"/>
      <c r="D61" s="44" t="str">
        <f>IFERROR(INDEX(#REF!,MATCH(C61,#REF!,0)),"")</f>
        <v/>
      </c>
      <c r="E61" s="25"/>
      <c r="F61" s="25"/>
      <c r="G61" s="25"/>
      <c r="H61" s="25"/>
      <c r="I61" s="29"/>
      <c r="J61" s="25"/>
      <c r="K61" s="25"/>
      <c r="L61" s="25"/>
      <c r="M61" s="25"/>
    </row>
    <row r="62" spans="1:13" x14ac:dyDescent="0.25">
      <c r="A62" s="36"/>
      <c r="B62" s="31"/>
      <c r="C62" s="31"/>
      <c r="D62" s="42" t="str">
        <f>IFERROR(INDEX(#REF!,MATCH(C62,#REF!,0)),"")</f>
        <v/>
      </c>
      <c r="E62" s="31"/>
      <c r="F62" s="31"/>
      <c r="G62" s="31"/>
      <c r="H62" s="31"/>
      <c r="I62" s="35"/>
      <c r="J62" s="31"/>
      <c r="K62" s="31"/>
      <c r="L62" s="31"/>
      <c r="M62" s="31"/>
    </row>
    <row r="63" spans="1:13" x14ac:dyDescent="0.25">
      <c r="A63" s="30"/>
      <c r="B63" s="25"/>
      <c r="C63" s="25"/>
      <c r="D63" s="44" t="str">
        <f>IFERROR(INDEX(#REF!,MATCH(C63,#REF!,0)),"")</f>
        <v/>
      </c>
      <c r="E63" s="25"/>
      <c r="F63" s="25"/>
      <c r="G63" s="25"/>
      <c r="H63" s="25"/>
      <c r="I63" s="29"/>
      <c r="J63" s="25"/>
      <c r="K63" s="25"/>
      <c r="L63" s="25"/>
      <c r="M63" s="25"/>
    </row>
    <row r="64" spans="1:13" x14ac:dyDescent="0.25">
      <c r="A64" s="36"/>
      <c r="B64" s="31"/>
      <c r="C64" s="31"/>
      <c r="D64" s="42" t="str">
        <f>IFERROR(INDEX(#REF!,MATCH(C64,#REF!,0)),"")</f>
        <v/>
      </c>
      <c r="E64" s="31"/>
      <c r="F64" s="31"/>
      <c r="G64" s="31"/>
      <c r="H64" s="31"/>
      <c r="I64" s="35"/>
      <c r="J64" s="31"/>
      <c r="K64" s="31"/>
      <c r="L64" s="31"/>
      <c r="M64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218"/>
  <sheetViews>
    <sheetView topLeftCell="A199" workbookViewId="0"/>
  </sheetViews>
  <sheetFormatPr baseColWidth="10" defaultRowHeight="15" x14ac:dyDescent="0.25"/>
  <sheetData>
    <row r="1" spans="1:12" ht="20.25" x14ac:dyDescent="0.25">
      <c r="A1" s="22" t="s">
        <v>540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4" spans="1:12" ht="49.5" x14ac:dyDescent="0.25">
      <c r="A4" s="24" t="s">
        <v>68</v>
      </c>
      <c r="B4" s="24" t="s">
        <v>69</v>
      </c>
      <c r="C4" s="24" t="s">
        <v>32</v>
      </c>
      <c r="D4" s="24" t="s">
        <v>77</v>
      </c>
      <c r="E4" s="24" t="s">
        <v>541</v>
      </c>
      <c r="F4" s="24" t="s">
        <v>542</v>
      </c>
      <c r="G4" s="24" t="s">
        <v>543</v>
      </c>
      <c r="H4" s="24" t="s">
        <v>73</v>
      </c>
      <c r="I4" s="24" t="s">
        <v>74</v>
      </c>
      <c r="J4" s="24" t="s">
        <v>520</v>
      </c>
      <c r="K4" s="24" t="s">
        <v>544</v>
      </c>
      <c r="L4" s="24" t="s">
        <v>34</v>
      </c>
    </row>
    <row r="5" spans="1:12" x14ac:dyDescent="0.25">
      <c r="A5" s="46" t="str">
        <f>Base_Articles!A5</f>
        <v>FO-0001</v>
      </c>
      <c r="B5" s="46" t="str">
        <f>Base_Articles!C5</f>
        <v>Boucle feuillard inox 20x0,7mm</v>
      </c>
      <c r="C5" s="46" t="str">
        <f>Base_Articles!B5</f>
        <v>FO</v>
      </c>
      <c r="D5" s="47">
        <f>Base_Articles!K5</f>
        <v>227</v>
      </c>
      <c r="E5" s="47" t="e">
        <f>SUMIFS(#REF!,#REF!,A5)</f>
        <v>#REF!</v>
      </c>
      <c r="F5" s="47" t="e">
        <f>SUMIFS(#REF!,#REF!,A5)</f>
        <v>#REF!</v>
      </c>
      <c r="G5" s="47" t="e">
        <f t="shared" ref="G5:G68" si="0">D5+E5-F5</f>
        <v>#REF!</v>
      </c>
      <c r="H5" s="47">
        <f>Base_Articles!G5</f>
        <v>45</v>
      </c>
      <c r="I5" s="47">
        <f>Base_Articles!H5</f>
        <v>340</v>
      </c>
      <c r="J5" s="47">
        <f>Base_Articles!J5</f>
        <v>0</v>
      </c>
      <c r="K5" s="47" t="e">
        <f t="shared" ref="K5:K68" si="1">G5*J5</f>
        <v>#REF!</v>
      </c>
      <c r="L5" s="46" t="e">
        <f t="shared" ref="L5:L68" si="2">IF(G5&lt;=0,"RUPTURE",IF(G5&lt;=H5,"CRITIQUE",IF(G5&gt;I5,"SURSTOCK","DISPONIBLE")))</f>
        <v>#REF!</v>
      </c>
    </row>
    <row r="6" spans="1:12" x14ac:dyDescent="0.25">
      <c r="A6" s="48" t="str">
        <f>Base_Articles!A6</f>
        <v>FO-0002</v>
      </c>
      <c r="B6" s="48" t="str">
        <f>Base_Articles!C6</f>
        <v>Collier blanc petit</v>
      </c>
      <c r="C6" s="48" t="str">
        <f>Base_Articles!B6</f>
        <v>FO</v>
      </c>
      <c r="D6" s="49">
        <f>Base_Articles!K6</f>
        <v>0</v>
      </c>
      <c r="E6" s="49" t="e">
        <f>SUMIFS(#REF!,#REF!,A6)</f>
        <v>#REF!</v>
      </c>
      <c r="F6" s="49" t="e">
        <f>SUMIFS(#REF!,#REF!,A6)</f>
        <v>#REF!</v>
      </c>
      <c r="G6" s="49" t="e">
        <f t="shared" si="0"/>
        <v>#REF!</v>
      </c>
      <c r="H6" s="49">
        <f>Base_Articles!G6</f>
        <v>5</v>
      </c>
      <c r="I6" s="49">
        <f>Base_Articles!H6</f>
        <v>50</v>
      </c>
      <c r="J6" s="49">
        <f>Base_Articles!J6</f>
        <v>0</v>
      </c>
      <c r="K6" s="49" t="e">
        <f t="shared" si="1"/>
        <v>#REF!</v>
      </c>
      <c r="L6" s="48" t="e">
        <f t="shared" si="2"/>
        <v>#REF!</v>
      </c>
    </row>
    <row r="7" spans="1:12" x14ac:dyDescent="0.25">
      <c r="A7" s="46" t="str">
        <f>Base_Articles!A7</f>
        <v>FO-0003</v>
      </c>
      <c r="B7" s="46" t="str">
        <f>Base_Articles!C7</f>
        <v>Dispositif de suspension JHC10-15</v>
      </c>
      <c r="C7" s="46" t="str">
        <f>Base_Articles!B7</f>
        <v>FO</v>
      </c>
      <c r="D7" s="47">
        <f>Base_Articles!K7</f>
        <v>0</v>
      </c>
      <c r="E7" s="47" t="e">
        <f>SUMIFS(#REF!,#REF!,A7)</f>
        <v>#REF!</v>
      </c>
      <c r="F7" s="47" t="e">
        <f>SUMIFS(#REF!,#REF!,A7)</f>
        <v>#REF!</v>
      </c>
      <c r="G7" s="47" t="e">
        <f t="shared" si="0"/>
        <v>#REF!</v>
      </c>
      <c r="H7" s="47">
        <f>Base_Articles!G7</f>
        <v>5</v>
      </c>
      <c r="I7" s="47">
        <f>Base_Articles!H7</f>
        <v>50</v>
      </c>
      <c r="J7" s="47">
        <f>Base_Articles!J7</f>
        <v>0</v>
      </c>
      <c r="K7" s="47" t="e">
        <f t="shared" si="1"/>
        <v>#REF!</v>
      </c>
      <c r="L7" s="46" t="e">
        <f t="shared" si="2"/>
        <v>#REF!</v>
      </c>
    </row>
    <row r="8" spans="1:12" x14ac:dyDescent="0.25">
      <c r="A8" s="48" t="str">
        <f>Base_Articles!A8</f>
        <v>FO-0004</v>
      </c>
      <c r="B8" s="48" t="str">
        <f>Base_Articles!C8</f>
        <v>Dispositif de suspension JHC15-20</v>
      </c>
      <c r="C8" s="48" t="str">
        <f>Base_Articles!B8</f>
        <v>FO</v>
      </c>
      <c r="D8" s="49">
        <f>Base_Articles!K8</f>
        <v>0</v>
      </c>
      <c r="E8" s="49" t="e">
        <f>SUMIFS(#REF!,#REF!,A8)</f>
        <v>#REF!</v>
      </c>
      <c r="F8" s="49" t="e">
        <f>SUMIFS(#REF!,#REF!,A8)</f>
        <v>#REF!</v>
      </c>
      <c r="G8" s="49" t="e">
        <f t="shared" si="0"/>
        <v>#REF!</v>
      </c>
      <c r="H8" s="49">
        <f>Base_Articles!G8</f>
        <v>5</v>
      </c>
      <c r="I8" s="49">
        <f>Base_Articles!H8</f>
        <v>50</v>
      </c>
      <c r="J8" s="49">
        <f>Base_Articles!J8</f>
        <v>0</v>
      </c>
      <c r="K8" s="49" t="e">
        <f t="shared" si="1"/>
        <v>#REF!</v>
      </c>
      <c r="L8" s="48" t="e">
        <f t="shared" si="2"/>
        <v>#REF!</v>
      </c>
    </row>
    <row r="9" spans="1:12" x14ac:dyDescent="0.25">
      <c r="A9" s="46" t="str">
        <f>Base_Articles!A9</f>
        <v>FO-0005</v>
      </c>
      <c r="B9" s="46" t="str">
        <f>Base_Articles!C9</f>
        <v>Embase cheville de 8</v>
      </c>
      <c r="C9" s="46" t="str">
        <f>Base_Articles!B9</f>
        <v>FO</v>
      </c>
      <c r="D9" s="47">
        <f>Base_Articles!K9</f>
        <v>1475</v>
      </c>
      <c r="E9" s="47" t="e">
        <f>SUMIFS(#REF!,#REF!,A9)</f>
        <v>#REF!</v>
      </c>
      <c r="F9" s="47" t="e">
        <f>SUMIFS(#REF!,#REF!,A9)</f>
        <v>#REF!</v>
      </c>
      <c r="G9" s="47" t="e">
        <f t="shared" si="0"/>
        <v>#REF!</v>
      </c>
      <c r="H9" s="47">
        <f>Base_Articles!G9</f>
        <v>295</v>
      </c>
      <c r="I9" s="47">
        <f>Base_Articles!H9</f>
        <v>2212</v>
      </c>
      <c r="J9" s="47">
        <f>Base_Articles!J9</f>
        <v>0</v>
      </c>
      <c r="K9" s="47" t="e">
        <f t="shared" si="1"/>
        <v>#REF!</v>
      </c>
      <c r="L9" s="46" t="e">
        <f t="shared" si="2"/>
        <v>#REF!</v>
      </c>
    </row>
    <row r="10" spans="1:12" x14ac:dyDescent="0.25">
      <c r="A10" s="48" t="str">
        <f>Base_Articles!A10</f>
        <v>FO-0006</v>
      </c>
      <c r="B10" s="48" t="str">
        <f>Base_Articles!C10</f>
        <v>Entraxe 5/33</v>
      </c>
      <c r="C10" s="48" t="str">
        <f>Base_Articles!B10</f>
        <v>FO</v>
      </c>
      <c r="D10" s="49">
        <f>Base_Articles!K10</f>
        <v>0</v>
      </c>
      <c r="E10" s="49" t="e">
        <f>SUMIFS(#REF!,#REF!,A10)</f>
        <v>#REF!</v>
      </c>
      <c r="F10" s="49" t="e">
        <f>SUMIFS(#REF!,#REF!,A10)</f>
        <v>#REF!</v>
      </c>
      <c r="G10" s="49" t="e">
        <f t="shared" si="0"/>
        <v>#REF!</v>
      </c>
      <c r="H10" s="49">
        <f>Base_Articles!G10</f>
        <v>5</v>
      </c>
      <c r="I10" s="49">
        <f>Base_Articles!H10</f>
        <v>50</v>
      </c>
      <c r="J10" s="49">
        <f>Base_Articles!J10</f>
        <v>0</v>
      </c>
      <c r="K10" s="49" t="e">
        <f t="shared" si="1"/>
        <v>#REF!</v>
      </c>
      <c r="L10" s="48" t="e">
        <f t="shared" si="2"/>
        <v>#REF!</v>
      </c>
    </row>
    <row r="11" spans="1:12" x14ac:dyDescent="0.25">
      <c r="A11" s="46" t="str">
        <f>Base_Articles!A11</f>
        <v>FO-0007</v>
      </c>
      <c r="B11" s="46" t="str">
        <f>Base_Articles!C11</f>
        <v>Feuillard inox 20x0,7 (rl 50m)</v>
      </c>
      <c r="C11" s="46" t="str">
        <f>Base_Articles!B11</f>
        <v>FO</v>
      </c>
      <c r="D11" s="47">
        <f>Base_Articles!K11</f>
        <v>1</v>
      </c>
      <c r="E11" s="47" t="e">
        <f>SUMIFS(#REF!,#REF!,A11)</f>
        <v>#REF!</v>
      </c>
      <c r="F11" s="47" t="e">
        <f>SUMIFS(#REF!,#REF!,A11)</f>
        <v>#REF!</v>
      </c>
      <c r="G11" s="47" t="e">
        <f t="shared" si="0"/>
        <v>#REF!</v>
      </c>
      <c r="H11" s="47">
        <f>Base_Articles!G11</f>
        <v>5</v>
      </c>
      <c r="I11" s="47">
        <f>Base_Articles!H11</f>
        <v>50</v>
      </c>
      <c r="J11" s="47">
        <f>Base_Articles!J11</f>
        <v>0</v>
      </c>
      <c r="K11" s="47" t="e">
        <f t="shared" si="1"/>
        <v>#REF!</v>
      </c>
      <c r="L11" s="46" t="e">
        <f t="shared" si="2"/>
        <v>#REF!</v>
      </c>
    </row>
    <row r="12" spans="1:12" x14ac:dyDescent="0.25">
      <c r="A12" s="48" t="str">
        <f>Base_Articles!A12</f>
        <v>FO-0008</v>
      </c>
      <c r="B12" s="48" t="str">
        <f>Base_Articles!C12</f>
        <v>End box 2 core</v>
      </c>
      <c r="C12" s="48" t="str">
        <f>Base_Articles!B12</f>
        <v>FO</v>
      </c>
      <c r="D12" s="49">
        <f>Base_Articles!K12</f>
        <v>0</v>
      </c>
      <c r="E12" s="49" t="e">
        <f>SUMIFS(#REF!,#REF!,A12)</f>
        <v>#REF!</v>
      </c>
      <c r="F12" s="49" t="e">
        <f>SUMIFS(#REF!,#REF!,A12)</f>
        <v>#REF!</v>
      </c>
      <c r="G12" s="49" t="e">
        <f t="shared" si="0"/>
        <v>#REF!</v>
      </c>
      <c r="H12" s="49">
        <f>Base_Articles!G12</f>
        <v>5</v>
      </c>
      <c r="I12" s="49">
        <f>Base_Articles!H12</f>
        <v>50</v>
      </c>
      <c r="J12" s="49">
        <f>Base_Articles!J12</f>
        <v>0</v>
      </c>
      <c r="K12" s="49" t="e">
        <f t="shared" si="1"/>
        <v>#REF!</v>
      </c>
      <c r="L12" s="48" t="e">
        <f t="shared" si="2"/>
        <v>#REF!</v>
      </c>
    </row>
    <row r="13" spans="1:12" x14ac:dyDescent="0.25">
      <c r="A13" s="46" t="str">
        <f>Base_Articles!A13</f>
        <v>FO-0009</v>
      </c>
      <c r="B13" s="46" t="str">
        <f>Base_Articles!C13</f>
        <v>Pince d'ancrage FO ADSS6-8</v>
      </c>
      <c r="C13" s="46" t="str">
        <f>Base_Articles!B13</f>
        <v>FO</v>
      </c>
      <c r="D13" s="47">
        <f>Base_Articles!K13</f>
        <v>140</v>
      </c>
      <c r="E13" s="47" t="e">
        <f>SUMIFS(#REF!,#REF!,A13)</f>
        <v>#REF!</v>
      </c>
      <c r="F13" s="47" t="e">
        <f>SUMIFS(#REF!,#REF!,A13)</f>
        <v>#REF!</v>
      </c>
      <c r="G13" s="47" t="e">
        <f t="shared" si="0"/>
        <v>#REF!</v>
      </c>
      <c r="H13" s="47">
        <f>Base_Articles!G13</f>
        <v>28</v>
      </c>
      <c r="I13" s="47">
        <f>Base_Articles!H13</f>
        <v>210</v>
      </c>
      <c r="J13" s="47">
        <f>Base_Articles!J13</f>
        <v>0</v>
      </c>
      <c r="K13" s="47" t="e">
        <f t="shared" si="1"/>
        <v>#REF!</v>
      </c>
      <c r="L13" s="46" t="e">
        <f t="shared" si="2"/>
        <v>#REF!</v>
      </c>
    </row>
    <row r="14" spans="1:12" x14ac:dyDescent="0.25">
      <c r="A14" s="48" t="str">
        <f>Base_Articles!A14</f>
        <v>FO-0010</v>
      </c>
      <c r="B14" s="48" t="str">
        <f>Base_Articles!C14</f>
        <v>Pince d'ancrage FO ADSS12</v>
      </c>
      <c r="C14" s="48" t="str">
        <f>Base_Articles!B14</f>
        <v>FO</v>
      </c>
      <c r="D14" s="49">
        <f>Base_Articles!K14</f>
        <v>0</v>
      </c>
      <c r="E14" s="49" t="e">
        <f>SUMIFS(#REF!,#REF!,A14)</f>
        <v>#REF!</v>
      </c>
      <c r="F14" s="49" t="e">
        <f>SUMIFS(#REF!,#REF!,A14)</f>
        <v>#REF!</v>
      </c>
      <c r="G14" s="49" t="e">
        <f t="shared" si="0"/>
        <v>#REF!</v>
      </c>
      <c r="H14" s="49">
        <f>Base_Articles!G14</f>
        <v>5</v>
      </c>
      <c r="I14" s="49">
        <f>Base_Articles!H14</f>
        <v>50</v>
      </c>
      <c r="J14" s="49">
        <f>Base_Articles!J14</f>
        <v>0</v>
      </c>
      <c r="K14" s="49" t="e">
        <f t="shared" si="1"/>
        <v>#REF!</v>
      </c>
      <c r="L14" s="48" t="e">
        <f t="shared" si="2"/>
        <v>#REF!</v>
      </c>
    </row>
    <row r="15" spans="1:12" x14ac:dyDescent="0.25">
      <c r="A15" s="46" t="str">
        <f>Base_Articles!A15</f>
        <v>FO-0011</v>
      </c>
      <c r="B15" s="46" t="str">
        <f>Base_Articles!C15</f>
        <v>Pince d'ancrage FO ADSS6</v>
      </c>
      <c r="C15" s="46" t="str">
        <f>Base_Articles!B15</f>
        <v>FO</v>
      </c>
      <c r="D15" s="47">
        <f>Base_Articles!K15</f>
        <v>0</v>
      </c>
      <c r="E15" s="47" t="e">
        <f>SUMIFS(#REF!,#REF!,A15)</f>
        <v>#REF!</v>
      </c>
      <c r="F15" s="47" t="e">
        <f>SUMIFS(#REF!,#REF!,A15)</f>
        <v>#REF!</v>
      </c>
      <c r="G15" s="47" t="e">
        <f t="shared" si="0"/>
        <v>#REF!</v>
      </c>
      <c r="H15" s="47">
        <f>Base_Articles!G15</f>
        <v>5</v>
      </c>
      <c r="I15" s="47">
        <f>Base_Articles!H15</f>
        <v>50</v>
      </c>
      <c r="J15" s="47">
        <f>Base_Articles!J15</f>
        <v>0</v>
      </c>
      <c r="K15" s="47" t="e">
        <f t="shared" si="1"/>
        <v>#REF!</v>
      </c>
      <c r="L15" s="46" t="e">
        <f t="shared" si="2"/>
        <v>#REF!</v>
      </c>
    </row>
    <row r="16" spans="1:12" x14ac:dyDescent="0.25">
      <c r="A16" s="48" t="str">
        <f>Base_Articles!A16</f>
        <v>FO-0012</v>
      </c>
      <c r="B16" s="48" t="str">
        <f>Base_Articles!C16</f>
        <v>Semelle à goupille</v>
      </c>
      <c r="C16" s="48" t="str">
        <f>Base_Articles!B16</f>
        <v>FO</v>
      </c>
      <c r="D16" s="49">
        <f>Base_Articles!K16</f>
        <v>0</v>
      </c>
      <c r="E16" s="49" t="e">
        <f>SUMIFS(#REF!,#REF!,A16)</f>
        <v>#REF!</v>
      </c>
      <c r="F16" s="49" t="e">
        <f>SUMIFS(#REF!,#REF!,A16)</f>
        <v>#REF!</v>
      </c>
      <c r="G16" s="49" t="e">
        <f t="shared" si="0"/>
        <v>#REF!</v>
      </c>
      <c r="H16" s="49">
        <f>Base_Articles!G16</f>
        <v>5</v>
      </c>
      <c r="I16" s="49">
        <f>Base_Articles!H16</f>
        <v>50</v>
      </c>
      <c r="J16" s="49">
        <f>Base_Articles!J16</f>
        <v>0</v>
      </c>
      <c r="K16" s="49" t="e">
        <f t="shared" si="1"/>
        <v>#REF!</v>
      </c>
      <c r="L16" s="48" t="e">
        <f t="shared" si="2"/>
        <v>#REF!</v>
      </c>
    </row>
    <row r="17" spans="1:12" x14ac:dyDescent="0.25">
      <c r="A17" s="46" t="str">
        <f>Base_Articles!A17</f>
        <v>FO-0013</v>
      </c>
      <c r="B17" s="46" t="str">
        <f>Base_Articles!C17</f>
        <v>Boulon M12*30</v>
      </c>
      <c r="C17" s="46" t="str">
        <f>Base_Articles!B17</f>
        <v>FO</v>
      </c>
      <c r="D17" s="47">
        <f>Base_Articles!K17</f>
        <v>0</v>
      </c>
      <c r="E17" s="47" t="e">
        <f>SUMIFS(#REF!,#REF!,A17)</f>
        <v>#REF!</v>
      </c>
      <c r="F17" s="47" t="e">
        <f>SUMIFS(#REF!,#REF!,A17)</f>
        <v>#REF!</v>
      </c>
      <c r="G17" s="47" t="e">
        <f t="shared" si="0"/>
        <v>#REF!</v>
      </c>
      <c r="H17" s="47">
        <f>Base_Articles!G17</f>
        <v>5</v>
      </c>
      <c r="I17" s="47">
        <f>Base_Articles!H17</f>
        <v>50</v>
      </c>
      <c r="J17" s="47">
        <f>Base_Articles!J17</f>
        <v>0</v>
      </c>
      <c r="K17" s="47" t="e">
        <f t="shared" si="1"/>
        <v>#REF!</v>
      </c>
      <c r="L17" s="46" t="e">
        <f t="shared" si="2"/>
        <v>#REF!</v>
      </c>
    </row>
    <row r="18" spans="1:12" x14ac:dyDescent="0.25">
      <c r="A18" s="48" t="str">
        <f>Base_Articles!A18</f>
        <v>FO-0014</v>
      </c>
      <c r="B18" s="48" t="str">
        <f>Base_Articles!C18</f>
        <v>Traverse 5/14 11 trous</v>
      </c>
      <c r="C18" s="48" t="str">
        <f>Base_Articles!B18</f>
        <v>FO</v>
      </c>
      <c r="D18" s="49">
        <f>Base_Articles!K18</f>
        <v>0</v>
      </c>
      <c r="E18" s="49" t="e">
        <f>SUMIFS(#REF!,#REF!,A18)</f>
        <v>#REF!</v>
      </c>
      <c r="F18" s="49" t="e">
        <f>SUMIFS(#REF!,#REF!,A18)</f>
        <v>#REF!</v>
      </c>
      <c r="G18" s="49" t="e">
        <f t="shared" si="0"/>
        <v>#REF!</v>
      </c>
      <c r="H18" s="49">
        <f>Base_Articles!G18</f>
        <v>5</v>
      </c>
      <c r="I18" s="49">
        <f>Base_Articles!H18</f>
        <v>50</v>
      </c>
      <c r="J18" s="49">
        <f>Base_Articles!J18</f>
        <v>0</v>
      </c>
      <c r="K18" s="49" t="e">
        <f t="shared" si="1"/>
        <v>#REF!</v>
      </c>
      <c r="L18" s="48" t="e">
        <f t="shared" si="2"/>
        <v>#REF!</v>
      </c>
    </row>
    <row r="19" spans="1:12" x14ac:dyDescent="0.25">
      <c r="A19" s="46" t="str">
        <f>Base_Articles!A19</f>
        <v>FO-0015</v>
      </c>
      <c r="B19" s="46" t="str">
        <f>Base_Articles!C19</f>
        <v>Pigtail</v>
      </c>
      <c r="C19" s="46" t="str">
        <f>Base_Articles!B19</f>
        <v>FO</v>
      </c>
      <c r="D19" s="47">
        <f>Base_Articles!K19</f>
        <v>4</v>
      </c>
      <c r="E19" s="47" t="e">
        <f>SUMIFS(#REF!,#REF!,A19)</f>
        <v>#REF!</v>
      </c>
      <c r="F19" s="47" t="e">
        <f>SUMIFS(#REF!,#REF!,A19)</f>
        <v>#REF!</v>
      </c>
      <c r="G19" s="47" t="e">
        <f t="shared" si="0"/>
        <v>#REF!</v>
      </c>
      <c r="H19" s="47">
        <f>Base_Articles!G19</f>
        <v>5</v>
      </c>
      <c r="I19" s="47">
        <f>Base_Articles!H19</f>
        <v>50</v>
      </c>
      <c r="J19" s="47">
        <f>Base_Articles!J19</f>
        <v>0</v>
      </c>
      <c r="K19" s="47" t="e">
        <f t="shared" si="1"/>
        <v>#REF!</v>
      </c>
      <c r="L19" s="46" t="e">
        <f t="shared" si="2"/>
        <v>#REF!</v>
      </c>
    </row>
    <row r="20" spans="1:12" x14ac:dyDescent="0.25">
      <c r="A20" s="48" t="str">
        <f>Base_Articles!A20</f>
        <v>FO-0016</v>
      </c>
      <c r="B20" s="48" t="str">
        <f>Base_Articles!C20</f>
        <v>Jarretière SC/APC 3M jaune</v>
      </c>
      <c r="C20" s="48" t="str">
        <f>Base_Articles!B20</f>
        <v>FO</v>
      </c>
      <c r="D20" s="49">
        <f>Base_Articles!K20</f>
        <v>0</v>
      </c>
      <c r="E20" s="49" t="e">
        <f>SUMIFS(#REF!,#REF!,A20)</f>
        <v>#REF!</v>
      </c>
      <c r="F20" s="49" t="e">
        <f>SUMIFS(#REF!,#REF!,A20)</f>
        <v>#REF!</v>
      </c>
      <c r="G20" s="49" t="e">
        <f t="shared" si="0"/>
        <v>#REF!</v>
      </c>
      <c r="H20" s="49">
        <f>Base_Articles!G20</f>
        <v>5</v>
      </c>
      <c r="I20" s="49">
        <f>Base_Articles!H20</f>
        <v>50</v>
      </c>
      <c r="J20" s="49">
        <f>Base_Articles!J20</f>
        <v>0</v>
      </c>
      <c r="K20" s="49" t="e">
        <f t="shared" si="1"/>
        <v>#REF!</v>
      </c>
      <c r="L20" s="48" t="e">
        <f t="shared" si="2"/>
        <v>#REF!</v>
      </c>
    </row>
    <row r="21" spans="1:12" x14ac:dyDescent="0.25">
      <c r="A21" s="46" t="str">
        <f>Base_Articles!A21</f>
        <v>FO-0017</v>
      </c>
      <c r="B21" s="46" t="str">
        <f>Base_Articles!C21</f>
        <v>Jarretière SC/APC 3M blanc</v>
      </c>
      <c r="C21" s="46" t="str">
        <f>Base_Articles!B21</f>
        <v>FO</v>
      </c>
      <c r="D21" s="47">
        <f>Base_Articles!K21</f>
        <v>0</v>
      </c>
      <c r="E21" s="47" t="e">
        <f>SUMIFS(#REF!,#REF!,A21)</f>
        <v>#REF!</v>
      </c>
      <c r="F21" s="47" t="e">
        <f>SUMIFS(#REF!,#REF!,A21)</f>
        <v>#REF!</v>
      </c>
      <c r="G21" s="47" t="e">
        <f t="shared" si="0"/>
        <v>#REF!</v>
      </c>
      <c r="H21" s="47">
        <f>Base_Articles!G21</f>
        <v>5</v>
      </c>
      <c r="I21" s="47">
        <f>Base_Articles!H21</f>
        <v>50</v>
      </c>
      <c r="J21" s="47">
        <f>Base_Articles!J21</f>
        <v>0</v>
      </c>
      <c r="K21" s="47" t="e">
        <f t="shared" si="1"/>
        <v>#REF!</v>
      </c>
      <c r="L21" s="46" t="e">
        <f t="shared" si="2"/>
        <v>#REF!</v>
      </c>
    </row>
    <row r="22" spans="1:12" x14ac:dyDescent="0.25">
      <c r="A22" s="48" t="str">
        <f>Base_Articles!A22</f>
        <v>FO-0018</v>
      </c>
      <c r="B22" s="48" t="str">
        <f>Base_Articles!C22</f>
        <v>Piton bois</v>
      </c>
      <c r="C22" s="48" t="str">
        <f>Base_Articles!B22</f>
        <v>FO</v>
      </c>
      <c r="D22" s="49">
        <f>Base_Articles!K22</f>
        <v>0</v>
      </c>
      <c r="E22" s="49" t="e">
        <f>SUMIFS(#REF!,#REF!,A22)</f>
        <v>#REF!</v>
      </c>
      <c r="F22" s="49" t="e">
        <f>SUMIFS(#REF!,#REF!,A22)</f>
        <v>#REF!</v>
      </c>
      <c r="G22" s="49" t="e">
        <f t="shared" si="0"/>
        <v>#REF!</v>
      </c>
      <c r="H22" s="49">
        <f>Base_Articles!G22</f>
        <v>5</v>
      </c>
      <c r="I22" s="49">
        <f>Base_Articles!H22</f>
        <v>50</v>
      </c>
      <c r="J22" s="49">
        <f>Base_Articles!J22</f>
        <v>0</v>
      </c>
      <c r="K22" s="49" t="e">
        <f t="shared" si="1"/>
        <v>#REF!</v>
      </c>
      <c r="L22" s="48" t="e">
        <f t="shared" si="2"/>
        <v>#REF!</v>
      </c>
    </row>
    <row r="23" spans="1:12" x14ac:dyDescent="0.25">
      <c r="A23" s="46" t="str">
        <f>Base_Articles!A23</f>
        <v>FO-0019</v>
      </c>
      <c r="B23" s="46" t="str">
        <f>Base_Articles!C23</f>
        <v>Jarretière SC/APC-SC/UPC 3M</v>
      </c>
      <c r="C23" s="46" t="str">
        <f>Base_Articles!B23</f>
        <v>FO</v>
      </c>
      <c r="D23" s="47">
        <f>Base_Articles!K23</f>
        <v>97</v>
      </c>
      <c r="E23" s="47" t="e">
        <f>SUMIFS(#REF!,#REF!,A23)</f>
        <v>#REF!</v>
      </c>
      <c r="F23" s="47" t="e">
        <f>SUMIFS(#REF!,#REF!,A23)</f>
        <v>#REF!</v>
      </c>
      <c r="G23" s="47" t="e">
        <f t="shared" si="0"/>
        <v>#REF!</v>
      </c>
      <c r="H23" s="47">
        <f>Base_Articles!G23</f>
        <v>19</v>
      </c>
      <c r="I23" s="47">
        <f>Base_Articles!H23</f>
        <v>146</v>
      </c>
      <c r="J23" s="47">
        <f>Base_Articles!J23</f>
        <v>0</v>
      </c>
      <c r="K23" s="47" t="e">
        <f t="shared" si="1"/>
        <v>#REF!</v>
      </c>
      <c r="L23" s="46" t="e">
        <f t="shared" si="2"/>
        <v>#REF!</v>
      </c>
    </row>
    <row r="24" spans="1:12" x14ac:dyDescent="0.25">
      <c r="A24" s="48" t="str">
        <f>Base_Articles!A24</f>
        <v>FO-0020</v>
      </c>
      <c r="B24" s="48" t="str">
        <f>Base_Articles!C24</f>
        <v>Câble client  (MTN) noir (500m)</v>
      </c>
      <c r="C24" s="48" t="str">
        <f>Base_Articles!B24</f>
        <v>FO</v>
      </c>
      <c r="D24" s="49">
        <f>Base_Articles!K24</f>
        <v>0</v>
      </c>
      <c r="E24" s="49" t="e">
        <f>SUMIFS(#REF!,#REF!,A24)</f>
        <v>#REF!</v>
      </c>
      <c r="F24" s="49" t="e">
        <f>SUMIFS(#REF!,#REF!,A24)</f>
        <v>#REF!</v>
      </c>
      <c r="G24" s="49" t="e">
        <f t="shared" si="0"/>
        <v>#REF!</v>
      </c>
      <c r="H24" s="49">
        <f>Base_Articles!G24</f>
        <v>5</v>
      </c>
      <c r="I24" s="49">
        <f>Base_Articles!H24</f>
        <v>50</v>
      </c>
      <c r="J24" s="49">
        <f>Base_Articles!J24</f>
        <v>0</v>
      </c>
      <c r="K24" s="49" t="e">
        <f t="shared" si="1"/>
        <v>#REF!</v>
      </c>
      <c r="L24" s="48" t="e">
        <f t="shared" si="2"/>
        <v>#REF!</v>
      </c>
    </row>
    <row r="25" spans="1:12" x14ac:dyDescent="0.25">
      <c r="A25" s="46" t="str">
        <f>Base_Articles!A25</f>
        <v>FO-0021</v>
      </c>
      <c r="B25" s="46" t="str">
        <f>Base_Articles!C25</f>
        <v>Câble client  (MTN) blanc(1000m)</v>
      </c>
      <c r="C25" s="46" t="str">
        <f>Base_Articles!B25</f>
        <v>FO</v>
      </c>
      <c r="D25" s="47">
        <f>Base_Articles!K25</f>
        <v>0</v>
      </c>
      <c r="E25" s="47" t="e">
        <f>SUMIFS(#REF!,#REF!,A25)</f>
        <v>#REF!</v>
      </c>
      <c r="F25" s="47" t="e">
        <f>SUMIFS(#REF!,#REF!,A25)</f>
        <v>#REF!</v>
      </c>
      <c r="G25" s="47" t="e">
        <f t="shared" si="0"/>
        <v>#REF!</v>
      </c>
      <c r="H25" s="47">
        <f>Base_Articles!G25</f>
        <v>5</v>
      </c>
      <c r="I25" s="47">
        <f>Base_Articles!H25</f>
        <v>50</v>
      </c>
      <c r="J25" s="47">
        <f>Base_Articles!J25</f>
        <v>0</v>
      </c>
      <c r="K25" s="47" t="e">
        <f t="shared" si="1"/>
        <v>#REF!</v>
      </c>
      <c r="L25" s="46" t="e">
        <f t="shared" si="2"/>
        <v>#REF!</v>
      </c>
    </row>
    <row r="26" spans="1:12" x14ac:dyDescent="0.25">
      <c r="A26" s="48" t="str">
        <f>Base_Articles!A26</f>
        <v>FO-0022</v>
      </c>
      <c r="B26" s="48" t="str">
        <f>Base_Articles!C26</f>
        <v>Attache n°6mm  blanc</v>
      </c>
      <c r="C26" s="48" t="str">
        <f>Base_Articles!B26</f>
        <v>FO</v>
      </c>
      <c r="D26" s="49">
        <f>Base_Articles!K26</f>
        <v>0</v>
      </c>
      <c r="E26" s="49" t="e">
        <f>SUMIFS(#REF!,#REF!,A26)</f>
        <v>#REF!</v>
      </c>
      <c r="F26" s="49" t="e">
        <f>SUMIFS(#REF!,#REF!,A26)</f>
        <v>#REF!</v>
      </c>
      <c r="G26" s="49" t="e">
        <f t="shared" si="0"/>
        <v>#REF!</v>
      </c>
      <c r="H26" s="49">
        <f>Base_Articles!G26</f>
        <v>5</v>
      </c>
      <c r="I26" s="49">
        <f>Base_Articles!H26</f>
        <v>50</v>
      </c>
      <c r="J26" s="49">
        <f>Base_Articles!J26</f>
        <v>0</v>
      </c>
      <c r="K26" s="49" t="e">
        <f t="shared" si="1"/>
        <v>#REF!</v>
      </c>
      <c r="L26" s="48" t="e">
        <f t="shared" si="2"/>
        <v>#REF!</v>
      </c>
    </row>
    <row r="27" spans="1:12" x14ac:dyDescent="0.25">
      <c r="A27" s="46" t="str">
        <f>Base_Articles!A27</f>
        <v>FO-0023</v>
      </c>
      <c r="B27" s="46" t="str">
        <f>Base_Articles!C27</f>
        <v>Attache n°5mm  blanc</v>
      </c>
      <c r="C27" s="46" t="str">
        <f>Base_Articles!B27</f>
        <v>FO</v>
      </c>
      <c r="D27" s="47">
        <f>Base_Articles!K27</f>
        <v>0</v>
      </c>
      <c r="E27" s="47" t="e">
        <f>SUMIFS(#REF!,#REF!,A27)</f>
        <v>#REF!</v>
      </c>
      <c r="F27" s="47" t="e">
        <f>SUMIFS(#REF!,#REF!,A27)</f>
        <v>#REF!</v>
      </c>
      <c r="G27" s="47" t="e">
        <f t="shared" si="0"/>
        <v>#REF!</v>
      </c>
      <c r="H27" s="47">
        <f>Base_Articles!G27</f>
        <v>5</v>
      </c>
      <c r="I27" s="47">
        <f>Base_Articles!H27</f>
        <v>50</v>
      </c>
      <c r="J27" s="47">
        <f>Base_Articles!J27</f>
        <v>0</v>
      </c>
      <c r="K27" s="47" t="e">
        <f t="shared" si="1"/>
        <v>#REF!</v>
      </c>
      <c r="L27" s="46" t="e">
        <f t="shared" si="2"/>
        <v>#REF!</v>
      </c>
    </row>
    <row r="28" spans="1:12" x14ac:dyDescent="0.25">
      <c r="A28" s="48" t="str">
        <f>Base_Articles!A28</f>
        <v>FO-0024</v>
      </c>
      <c r="B28" s="48" t="str">
        <f>Base_Articles!C28</f>
        <v>Attache n°4mm  blanc</v>
      </c>
      <c r="C28" s="48" t="str">
        <f>Base_Articles!B28</f>
        <v>FO</v>
      </c>
      <c r="D28" s="49">
        <f>Base_Articles!K28</f>
        <v>0</v>
      </c>
      <c r="E28" s="49" t="e">
        <f>SUMIFS(#REF!,#REF!,A28)</f>
        <v>#REF!</v>
      </c>
      <c r="F28" s="49" t="e">
        <f>SUMIFS(#REF!,#REF!,A28)</f>
        <v>#REF!</v>
      </c>
      <c r="G28" s="49" t="e">
        <f t="shared" si="0"/>
        <v>#REF!</v>
      </c>
      <c r="H28" s="49">
        <f>Base_Articles!G28</f>
        <v>5</v>
      </c>
      <c r="I28" s="49">
        <f>Base_Articles!H28</f>
        <v>50</v>
      </c>
      <c r="J28" s="49">
        <f>Base_Articles!J28</f>
        <v>0</v>
      </c>
      <c r="K28" s="49" t="e">
        <f t="shared" si="1"/>
        <v>#REF!</v>
      </c>
      <c r="L28" s="48" t="e">
        <f t="shared" si="2"/>
        <v>#REF!</v>
      </c>
    </row>
    <row r="29" spans="1:12" x14ac:dyDescent="0.25">
      <c r="A29" s="46" t="str">
        <f>Base_Articles!A29</f>
        <v>FO-0025</v>
      </c>
      <c r="B29" s="46" t="str">
        <f>Base_Articles!C29</f>
        <v>Attache n°5mm  Gris</v>
      </c>
      <c r="C29" s="46" t="str">
        <f>Base_Articles!B29</f>
        <v>FO</v>
      </c>
      <c r="D29" s="47">
        <f>Base_Articles!K29</f>
        <v>150</v>
      </c>
      <c r="E29" s="47" t="e">
        <f>SUMIFS(#REF!,#REF!,A29)</f>
        <v>#REF!</v>
      </c>
      <c r="F29" s="47" t="e">
        <f>SUMIFS(#REF!,#REF!,A29)</f>
        <v>#REF!</v>
      </c>
      <c r="G29" s="47" t="e">
        <f t="shared" si="0"/>
        <v>#REF!</v>
      </c>
      <c r="H29" s="47">
        <f>Base_Articles!G29</f>
        <v>30</v>
      </c>
      <c r="I29" s="47">
        <f>Base_Articles!H29</f>
        <v>225</v>
      </c>
      <c r="J29" s="47">
        <f>Base_Articles!J29</f>
        <v>0</v>
      </c>
      <c r="K29" s="47" t="e">
        <f t="shared" si="1"/>
        <v>#REF!</v>
      </c>
      <c r="L29" s="46" t="e">
        <f t="shared" si="2"/>
        <v>#REF!</v>
      </c>
    </row>
    <row r="30" spans="1:12" x14ac:dyDescent="0.25">
      <c r="A30" s="48" t="str">
        <f>Base_Articles!A30</f>
        <v>FO-0026</v>
      </c>
      <c r="B30" s="48" t="str">
        <f>Base_Articles!C30</f>
        <v>Attache n°4mm  Gris</v>
      </c>
      <c r="C30" s="48" t="str">
        <f>Base_Articles!B30</f>
        <v>FO</v>
      </c>
      <c r="D30" s="49">
        <f>Base_Articles!K30</f>
        <v>0</v>
      </c>
      <c r="E30" s="49" t="e">
        <f>SUMIFS(#REF!,#REF!,A30)</f>
        <v>#REF!</v>
      </c>
      <c r="F30" s="49" t="e">
        <f>SUMIFS(#REF!,#REF!,A30)</f>
        <v>#REF!</v>
      </c>
      <c r="G30" s="49" t="e">
        <f t="shared" si="0"/>
        <v>#REF!</v>
      </c>
      <c r="H30" s="49">
        <f>Base_Articles!G30</f>
        <v>5</v>
      </c>
      <c r="I30" s="49">
        <f>Base_Articles!H30</f>
        <v>50</v>
      </c>
      <c r="J30" s="49">
        <f>Base_Articles!J30</f>
        <v>0</v>
      </c>
      <c r="K30" s="49" t="e">
        <f t="shared" si="1"/>
        <v>#REF!</v>
      </c>
      <c r="L30" s="48" t="e">
        <f t="shared" si="2"/>
        <v>#REF!</v>
      </c>
    </row>
    <row r="31" spans="1:12" x14ac:dyDescent="0.25">
      <c r="A31" s="46" t="str">
        <f>Base_Articles!A31</f>
        <v>FO-0027</v>
      </c>
      <c r="B31" s="46" t="str">
        <f>Base_Articles!C31</f>
        <v>CABLE 1 FO G657</v>
      </c>
      <c r="C31" s="46" t="str">
        <f>Base_Articles!B31</f>
        <v>FO</v>
      </c>
      <c r="D31" s="47">
        <f>Base_Articles!K31</f>
        <v>37000</v>
      </c>
      <c r="E31" s="47" t="e">
        <f>SUMIFS(#REF!,#REF!,A31)</f>
        <v>#REF!</v>
      </c>
      <c r="F31" s="47" t="e">
        <f>SUMIFS(#REF!,#REF!,A31)</f>
        <v>#REF!</v>
      </c>
      <c r="G31" s="47" t="e">
        <f t="shared" si="0"/>
        <v>#REF!</v>
      </c>
      <c r="H31" s="47">
        <f>Base_Articles!G31</f>
        <v>7400</v>
      </c>
      <c r="I31" s="47">
        <f>Base_Articles!H31</f>
        <v>55500</v>
      </c>
      <c r="J31" s="47">
        <f>Base_Articles!J31</f>
        <v>0</v>
      </c>
      <c r="K31" s="47" t="e">
        <f t="shared" si="1"/>
        <v>#REF!</v>
      </c>
      <c r="L31" s="46" t="e">
        <f t="shared" si="2"/>
        <v>#REF!</v>
      </c>
    </row>
    <row r="32" spans="1:12" x14ac:dyDescent="0.25">
      <c r="A32" s="48" t="str">
        <f>Base_Articles!A32</f>
        <v>FO-0028</v>
      </c>
      <c r="B32" s="48" t="str">
        <f>Base_Articles!C32</f>
        <v>Câble  Sout/Aer 12FO (MTN)</v>
      </c>
      <c r="C32" s="48" t="str">
        <f>Base_Articles!B32</f>
        <v>FO</v>
      </c>
      <c r="D32" s="49">
        <f>Base_Articles!K32</f>
        <v>0</v>
      </c>
      <c r="E32" s="49" t="e">
        <f>SUMIFS(#REF!,#REF!,A32)</f>
        <v>#REF!</v>
      </c>
      <c r="F32" s="49" t="e">
        <f>SUMIFS(#REF!,#REF!,A32)</f>
        <v>#REF!</v>
      </c>
      <c r="G32" s="49" t="e">
        <f t="shared" si="0"/>
        <v>#REF!</v>
      </c>
      <c r="H32" s="49">
        <f>Base_Articles!G32</f>
        <v>5</v>
      </c>
      <c r="I32" s="49">
        <f>Base_Articles!H32</f>
        <v>50</v>
      </c>
      <c r="J32" s="49">
        <f>Base_Articles!J32</f>
        <v>0</v>
      </c>
      <c r="K32" s="49" t="e">
        <f t="shared" si="1"/>
        <v>#REF!</v>
      </c>
      <c r="L32" s="48" t="e">
        <f t="shared" si="2"/>
        <v>#REF!</v>
      </c>
    </row>
    <row r="33" spans="1:12" x14ac:dyDescent="0.25">
      <c r="A33" s="46" t="str">
        <f>Base_Articles!A33</f>
        <v>FO-0029</v>
      </c>
      <c r="B33" s="46" t="str">
        <f>Base_Articles!C33</f>
        <v>Câble  Sout/Aer 48FO (Moov) G652D</v>
      </c>
      <c r="C33" s="46" t="str">
        <f>Base_Articles!B33</f>
        <v>FO</v>
      </c>
      <c r="D33" s="47">
        <f>Base_Articles!K33</f>
        <v>0</v>
      </c>
      <c r="E33" s="47" t="e">
        <f>SUMIFS(#REF!,#REF!,A33)</f>
        <v>#REF!</v>
      </c>
      <c r="F33" s="47" t="e">
        <f>SUMIFS(#REF!,#REF!,A33)</f>
        <v>#REF!</v>
      </c>
      <c r="G33" s="47" t="e">
        <f t="shared" si="0"/>
        <v>#REF!</v>
      </c>
      <c r="H33" s="47">
        <f>Base_Articles!G33</f>
        <v>5</v>
      </c>
      <c r="I33" s="47">
        <f>Base_Articles!H33</f>
        <v>50</v>
      </c>
      <c r="J33" s="47">
        <f>Base_Articles!J33</f>
        <v>0</v>
      </c>
      <c r="K33" s="47" t="e">
        <f t="shared" si="1"/>
        <v>#REF!</v>
      </c>
      <c r="L33" s="46" t="e">
        <f t="shared" si="2"/>
        <v>#REF!</v>
      </c>
    </row>
    <row r="34" spans="1:12" x14ac:dyDescent="0.25">
      <c r="A34" s="48" t="str">
        <f>Base_Articles!A34</f>
        <v>FO-0030</v>
      </c>
      <c r="B34" s="48" t="str">
        <f>Base_Articles!C34</f>
        <v>Câble 12  FO  (HUB-MTN) G652D</v>
      </c>
      <c r="C34" s="48" t="str">
        <f>Base_Articles!B34</f>
        <v>FO</v>
      </c>
      <c r="D34" s="49">
        <f>Base_Articles!K34</f>
        <v>0</v>
      </c>
      <c r="E34" s="49" t="e">
        <f>SUMIFS(#REF!,#REF!,A34)</f>
        <v>#REF!</v>
      </c>
      <c r="F34" s="49" t="e">
        <f>SUMIFS(#REF!,#REF!,A34)</f>
        <v>#REF!</v>
      </c>
      <c r="G34" s="49" t="e">
        <f t="shared" si="0"/>
        <v>#REF!</v>
      </c>
      <c r="H34" s="49">
        <f>Base_Articles!G34</f>
        <v>5</v>
      </c>
      <c r="I34" s="49">
        <f>Base_Articles!H34</f>
        <v>50</v>
      </c>
      <c r="J34" s="49">
        <f>Base_Articles!J34</f>
        <v>0</v>
      </c>
      <c r="K34" s="49" t="e">
        <f t="shared" si="1"/>
        <v>#REF!</v>
      </c>
      <c r="L34" s="48" t="e">
        <f t="shared" si="2"/>
        <v>#REF!</v>
      </c>
    </row>
    <row r="35" spans="1:12" x14ac:dyDescent="0.25">
      <c r="A35" s="46" t="str">
        <f>Base_Articles!A35</f>
        <v>FO-0031</v>
      </c>
      <c r="B35" s="46" t="str">
        <f>Base_Articles!C35</f>
        <v>Câble 24  FO  (HUB-MTN) G652D</v>
      </c>
      <c r="C35" s="46" t="str">
        <f>Base_Articles!B35</f>
        <v>FO</v>
      </c>
      <c r="D35" s="47">
        <f>Base_Articles!K35</f>
        <v>0</v>
      </c>
      <c r="E35" s="47" t="e">
        <f>SUMIFS(#REF!,#REF!,A35)</f>
        <v>#REF!</v>
      </c>
      <c r="F35" s="47" t="e">
        <f>SUMIFS(#REF!,#REF!,A35)</f>
        <v>#REF!</v>
      </c>
      <c r="G35" s="47" t="e">
        <f t="shared" si="0"/>
        <v>#REF!</v>
      </c>
      <c r="H35" s="47">
        <f>Base_Articles!G35</f>
        <v>5</v>
      </c>
      <c r="I35" s="47">
        <f>Base_Articles!H35</f>
        <v>50</v>
      </c>
      <c r="J35" s="47">
        <f>Base_Articles!J35</f>
        <v>0</v>
      </c>
      <c r="K35" s="47" t="e">
        <f t="shared" si="1"/>
        <v>#REF!</v>
      </c>
      <c r="L35" s="46" t="e">
        <f t="shared" si="2"/>
        <v>#REF!</v>
      </c>
    </row>
    <row r="36" spans="1:12" x14ac:dyDescent="0.25">
      <c r="A36" s="48" t="str">
        <f>Base_Articles!A36</f>
        <v>FO-0032</v>
      </c>
      <c r="B36" s="48" t="str">
        <f>Base_Articles!C36</f>
        <v>Câble 96  FO  (HUB-MTN) G652D</v>
      </c>
      <c r="C36" s="48" t="str">
        <f>Base_Articles!B36</f>
        <v>FO</v>
      </c>
      <c r="D36" s="49">
        <f>Base_Articles!K36</f>
        <v>0</v>
      </c>
      <c r="E36" s="49" t="e">
        <f>SUMIFS(#REF!,#REF!,A36)</f>
        <v>#REF!</v>
      </c>
      <c r="F36" s="49" t="e">
        <f>SUMIFS(#REF!,#REF!,A36)</f>
        <v>#REF!</v>
      </c>
      <c r="G36" s="49" t="e">
        <f t="shared" si="0"/>
        <v>#REF!</v>
      </c>
      <c r="H36" s="49">
        <f>Base_Articles!G36</f>
        <v>5</v>
      </c>
      <c r="I36" s="49">
        <f>Base_Articles!H36</f>
        <v>50</v>
      </c>
      <c r="J36" s="49">
        <f>Base_Articles!J36</f>
        <v>0</v>
      </c>
      <c r="K36" s="49" t="e">
        <f t="shared" si="1"/>
        <v>#REF!</v>
      </c>
      <c r="L36" s="48" t="e">
        <f t="shared" si="2"/>
        <v>#REF!</v>
      </c>
    </row>
    <row r="37" spans="1:12" x14ac:dyDescent="0.25">
      <c r="A37" s="46" t="str">
        <f>Base_Articles!A37</f>
        <v>FO-0033</v>
      </c>
      <c r="B37" s="46" t="str">
        <f>Base_Articles!C37</f>
        <v>Câble Vertical G657 A2 24FO Ivoire</v>
      </c>
      <c r="C37" s="46" t="str">
        <f>Base_Articles!B37</f>
        <v>FO</v>
      </c>
      <c r="D37" s="47">
        <f>Base_Articles!K37</f>
        <v>0</v>
      </c>
      <c r="E37" s="47" t="e">
        <f>SUMIFS(#REF!,#REF!,A37)</f>
        <v>#REF!</v>
      </c>
      <c r="F37" s="47" t="e">
        <f>SUMIFS(#REF!,#REF!,A37)</f>
        <v>#REF!</v>
      </c>
      <c r="G37" s="47" t="e">
        <f t="shared" si="0"/>
        <v>#REF!</v>
      </c>
      <c r="H37" s="47">
        <f>Base_Articles!G37</f>
        <v>5</v>
      </c>
      <c r="I37" s="47">
        <f>Base_Articles!H37</f>
        <v>50</v>
      </c>
      <c r="J37" s="47">
        <f>Base_Articles!J37</f>
        <v>0</v>
      </c>
      <c r="K37" s="47" t="e">
        <f t="shared" si="1"/>
        <v>#REF!</v>
      </c>
      <c r="L37" s="46" t="e">
        <f t="shared" si="2"/>
        <v>#REF!</v>
      </c>
    </row>
    <row r="38" spans="1:12" x14ac:dyDescent="0.25">
      <c r="A38" s="48" t="str">
        <f>Base_Articles!A38</f>
        <v>FO-0034</v>
      </c>
      <c r="B38" s="48" t="str">
        <f>Base_Articles!C38</f>
        <v>Câble Vertical G657 A2 48FO Ivoire</v>
      </c>
      <c r="C38" s="48" t="str">
        <f>Base_Articles!B38</f>
        <v>FO</v>
      </c>
      <c r="D38" s="49">
        <f>Base_Articles!K38</f>
        <v>0</v>
      </c>
      <c r="E38" s="49" t="e">
        <f>SUMIFS(#REF!,#REF!,A38)</f>
        <v>#REF!</v>
      </c>
      <c r="F38" s="49" t="e">
        <f>SUMIFS(#REF!,#REF!,A38)</f>
        <v>#REF!</v>
      </c>
      <c r="G38" s="49" t="e">
        <f t="shared" si="0"/>
        <v>#REF!</v>
      </c>
      <c r="H38" s="49">
        <f>Base_Articles!G38</f>
        <v>5</v>
      </c>
      <c r="I38" s="49">
        <f>Base_Articles!H38</f>
        <v>50</v>
      </c>
      <c r="J38" s="49">
        <f>Base_Articles!J38</f>
        <v>0</v>
      </c>
      <c r="K38" s="49" t="e">
        <f t="shared" si="1"/>
        <v>#REF!</v>
      </c>
      <c r="L38" s="48" t="e">
        <f t="shared" si="2"/>
        <v>#REF!</v>
      </c>
    </row>
    <row r="39" spans="1:12" x14ac:dyDescent="0.25">
      <c r="A39" s="46" t="str">
        <f>Base_Articles!A39</f>
        <v>FO-0035</v>
      </c>
      <c r="B39" s="46" t="str">
        <f>Base_Articles!C39</f>
        <v>Piton beton 5mm</v>
      </c>
      <c r="C39" s="46" t="str">
        <f>Base_Articles!B39</f>
        <v>FO</v>
      </c>
      <c r="D39" s="47">
        <f>Base_Articles!K39</f>
        <v>0</v>
      </c>
      <c r="E39" s="47" t="e">
        <f>SUMIFS(#REF!,#REF!,A39)</f>
        <v>#REF!</v>
      </c>
      <c r="F39" s="47" t="e">
        <f>SUMIFS(#REF!,#REF!,A39)</f>
        <v>#REF!</v>
      </c>
      <c r="G39" s="47" t="e">
        <f t="shared" si="0"/>
        <v>#REF!</v>
      </c>
      <c r="H39" s="47">
        <f>Base_Articles!G39</f>
        <v>5</v>
      </c>
      <c r="I39" s="47">
        <f>Base_Articles!H39</f>
        <v>50</v>
      </c>
      <c r="J39" s="47">
        <f>Base_Articles!J39</f>
        <v>0</v>
      </c>
      <c r="K39" s="47" t="e">
        <f t="shared" si="1"/>
        <v>#REF!</v>
      </c>
      <c r="L39" s="46" t="e">
        <f t="shared" si="2"/>
        <v>#REF!</v>
      </c>
    </row>
    <row r="40" spans="1:12" x14ac:dyDescent="0.25">
      <c r="A40" s="48" t="str">
        <f>Base_Articles!A40</f>
        <v>FO-0036</v>
      </c>
      <c r="B40" s="48" t="str">
        <f>Base_Articles!C40</f>
        <v>Piton beton 6mm</v>
      </c>
      <c r="C40" s="48" t="str">
        <f>Base_Articles!B40</f>
        <v>FO</v>
      </c>
      <c r="D40" s="49">
        <f>Base_Articles!K40</f>
        <v>0</v>
      </c>
      <c r="E40" s="49" t="e">
        <f>SUMIFS(#REF!,#REF!,A40)</f>
        <v>#REF!</v>
      </c>
      <c r="F40" s="49" t="e">
        <f>SUMIFS(#REF!,#REF!,A40)</f>
        <v>#REF!</v>
      </c>
      <c r="G40" s="49" t="e">
        <f t="shared" si="0"/>
        <v>#REF!</v>
      </c>
      <c r="H40" s="49">
        <f>Base_Articles!G40</f>
        <v>5</v>
      </c>
      <c r="I40" s="49">
        <f>Base_Articles!H40</f>
        <v>50</v>
      </c>
      <c r="J40" s="49">
        <f>Base_Articles!J40</f>
        <v>0</v>
      </c>
      <c r="K40" s="49" t="e">
        <f t="shared" si="1"/>
        <v>#REF!</v>
      </c>
      <c r="L40" s="48" t="e">
        <f t="shared" si="2"/>
        <v>#REF!</v>
      </c>
    </row>
    <row r="41" spans="1:12" x14ac:dyDescent="0.25">
      <c r="A41" s="46" t="str">
        <f>Base_Articles!A41</f>
        <v>FO-0037</v>
      </c>
      <c r="B41" s="46" t="str">
        <f>Base_Articles!C41</f>
        <v>Piton beton 8mm</v>
      </c>
      <c r="C41" s="46" t="str">
        <f>Base_Articles!B41</f>
        <v>FO</v>
      </c>
      <c r="D41" s="47">
        <f>Base_Articles!K41</f>
        <v>0</v>
      </c>
      <c r="E41" s="47" t="e">
        <f>SUMIFS(#REF!,#REF!,A41)</f>
        <v>#REF!</v>
      </c>
      <c r="F41" s="47" t="e">
        <f>SUMIFS(#REF!,#REF!,A41)</f>
        <v>#REF!</v>
      </c>
      <c r="G41" s="47" t="e">
        <f t="shared" si="0"/>
        <v>#REF!</v>
      </c>
      <c r="H41" s="47">
        <f>Base_Articles!G41</f>
        <v>5</v>
      </c>
      <c r="I41" s="47">
        <f>Base_Articles!H41</f>
        <v>50</v>
      </c>
      <c r="J41" s="47">
        <f>Base_Articles!J41</f>
        <v>0</v>
      </c>
      <c r="K41" s="47" t="e">
        <f t="shared" si="1"/>
        <v>#REF!</v>
      </c>
      <c r="L41" s="46" t="e">
        <f t="shared" si="2"/>
        <v>#REF!</v>
      </c>
    </row>
    <row r="42" spans="1:12" x14ac:dyDescent="0.25">
      <c r="A42" s="48" t="str">
        <f>Base_Articles!A42</f>
        <v>FO-0038</v>
      </c>
      <c r="B42" s="48" t="str">
        <f>Base_Articles!C42</f>
        <v>Collier RISLAN 9/62</v>
      </c>
      <c r="C42" s="48" t="str">
        <f>Base_Articles!B42</f>
        <v>FO</v>
      </c>
      <c r="D42" s="49">
        <f>Base_Articles!K42</f>
        <v>0</v>
      </c>
      <c r="E42" s="49" t="e">
        <f>SUMIFS(#REF!,#REF!,A42)</f>
        <v>#REF!</v>
      </c>
      <c r="F42" s="49" t="e">
        <f>SUMIFS(#REF!,#REF!,A42)</f>
        <v>#REF!</v>
      </c>
      <c r="G42" s="49" t="e">
        <f t="shared" si="0"/>
        <v>#REF!</v>
      </c>
      <c r="H42" s="49">
        <f>Base_Articles!G42</f>
        <v>5</v>
      </c>
      <c r="I42" s="49">
        <f>Base_Articles!H42</f>
        <v>50</v>
      </c>
      <c r="J42" s="49">
        <f>Base_Articles!J42</f>
        <v>0</v>
      </c>
      <c r="K42" s="49" t="e">
        <f t="shared" si="1"/>
        <v>#REF!</v>
      </c>
      <c r="L42" s="48" t="e">
        <f t="shared" si="2"/>
        <v>#REF!</v>
      </c>
    </row>
    <row r="43" spans="1:12" x14ac:dyDescent="0.25">
      <c r="A43" s="46" t="str">
        <f>Base_Articles!A43</f>
        <v>FO-0039</v>
      </c>
      <c r="B43" s="46" t="str">
        <f>Base_Articles!C43</f>
        <v>Collier inox (Bague)</v>
      </c>
      <c r="C43" s="46" t="str">
        <f>Base_Articles!B43</f>
        <v>FO</v>
      </c>
      <c r="D43" s="47">
        <f>Base_Articles!K43</f>
        <v>0</v>
      </c>
      <c r="E43" s="47" t="e">
        <f>SUMIFS(#REF!,#REF!,A43)</f>
        <v>#REF!</v>
      </c>
      <c r="F43" s="47" t="e">
        <f>SUMIFS(#REF!,#REF!,A43)</f>
        <v>#REF!</v>
      </c>
      <c r="G43" s="47" t="e">
        <f t="shared" si="0"/>
        <v>#REF!</v>
      </c>
      <c r="H43" s="47">
        <f>Base_Articles!G43</f>
        <v>5</v>
      </c>
      <c r="I43" s="47">
        <f>Base_Articles!H43</f>
        <v>50</v>
      </c>
      <c r="J43" s="47">
        <f>Base_Articles!J43</f>
        <v>0</v>
      </c>
      <c r="K43" s="47" t="e">
        <f t="shared" si="1"/>
        <v>#REF!</v>
      </c>
      <c r="L43" s="46" t="e">
        <f t="shared" si="2"/>
        <v>#REF!</v>
      </c>
    </row>
    <row r="44" spans="1:12" x14ac:dyDescent="0.25">
      <c r="A44" s="48" t="str">
        <f>Base_Articles!A44</f>
        <v>FO-0040</v>
      </c>
      <c r="B44" s="48" t="str">
        <f>Base_Articles!C44</f>
        <v>Boitier d'étage + cassette</v>
      </c>
      <c r="C44" s="48" t="str">
        <f>Base_Articles!B44</f>
        <v>FO</v>
      </c>
      <c r="D44" s="49">
        <f>Base_Articles!K44</f>
        <v>0</v>
      </c>
      <c r="E44" s="49" t="e">
        <f>SUMIFS(#REF!,#REF!,A44)</f>
        <v>#REF!</v>
      </c>
      <c r="F44" s="49" t="e">
        <f>SUMIFS(#REF!,#REF!,A44)</f>
        <v>#REF!</v>
      </c>
      <c r="G44" s="49" t="e">
        <f t="shared" si="0"/>
        <v>#REF!</v>
      </c>
      <c r="H44" s="49">
        <f>Base_Articles!G44</f>
        <v>5</v>
      </c>
      <c r="I44" s="49">
        <f>Base_Articles!H44</f>
        <v>50</v>
      </c>
      <c r="J44" s="49">
        <f>Base_Articles!J44</f>
        <v>0</v>
      </c>
      <c r="K44" s="49" t="e">
        <f t="shared" si="1"/>
        <v>#REF!</v>
      </c>
      <c r="L44" s="48" t="e">
        <f t="shared" si="2"/>
        <v>#REF!</v>
      </c>
    </row>
    <row r="45" spans="1:12" x14ac:dyDescent="0.25">
      <c r="A45" s="46" t="str">
        <f>Base_Articles!A45</f>
        <v>FO-0041</v>
      </c>
      <c r="B45" s="46" t="str">
        <f>Base_Articles!C45</f>
        <v>PB Aérien+ cassette</v>
      </c>
      <c r="C45" s="46" t="str">
        <f>Base_Articles!B45</f>
        <v>FO</v>
      </c>
      <c r="D45" s="47">
        <f>Base_Articles!K45</f>
        <v>5</v>
      </c>
      <c r="E45" s="47" t="e">
        <f>SUMIFS(#REF!,#REF!,A45)</f>
        <v>#REF!</v>
      </c>
      <c r="F45" s="47" t="e">
        <f>SUMIFS(#REF!,#REF!,A45)</f>
        <v>#REF!</v>
      </c>
      <c r="G45" s="47" t="e">
        <f t="shared" si="0"/>
        <v>#REF!</v>
      </c>
      <c r="H45" s="47">
        <f>Base_Articles!G45</f>
        <v>5</v>
      </c>
      <c r="I45" s="47">
        <f>Base_Articles!H45</f>
        <v>50</v>
      </c>
      <c r="J45" s="47">
        <f>Base_Articles!J45</f>
        <v>0</v>
      </c>
      <c r="K45" s="47" t="e">
        <f t="shared" si="1"/>
        <v>#REF!</v>
      </c>
      <c r="L45" s="46" t="e">
        <f t="shared" si="2"/>
        <v>#REF!</v>
      </c>
    </row>
    <row r="46" spans="1:12" x14ac:dyDescent="0.25">
      <c r="A46" s="48" t="str">
        <f>Base_Articles!A46</f>
        <v>FO-0042</v>
      </c>
      <c r="B46" s="48" t="str">
        <f>Base_Articles!C46</f>
        <v>Boitier transition immeuble + cassette</v>
      </c>
      <c r="C46" s="48" t="str">
        <f>Base_Articles!B46</f>
        <v>FO</v>
      </c>
      <c r="D46" s="49">
        <f>Base_Articles!K46</f>
        <v>0</v>
      </c>
      <c r="E46" s="49" t="e">
        <f>SUMIFS(#REF!,#REF!,A46)</f>
        <v>#REF!</v>
      </c>
      <c r="F46" s="49" t="e">
        <f>SUMIFS(#REF!,#REF!,A46)</f>
        <v>#REF!</v>
      </c>
      <c r="G46" s="49" t="e">
        <f t="shared" si="0"/>
        <v>#REF!</v>
      </c>
      <c r="H46" s="49">
        <f>Base_Articles!G46</f>
        <v>5</v>
      </c>
      <c r="I46" s="49">
        <f>Base_Articles!H46</f>
        <v>50</v>
      </c>
      <c r="J46" s="49">
        <f>Base_Articles!J46</f>
        <v>0</v>
      </c>
      <c r="K46" s="49" t="e">
        <f t="shared" si="1"/>
        <v>#REF!</v>
      </c>
      <c r="L46" s="48" t="e">
        <f t="shared" si="2"/>
        <v>#REF!</v>
      </c>
    </row>
    <row r="47" spans="1:12" x14ac:dyDescent="0.25">
      <c r="A47" s="46" t="str">
        <f>Base_Articles!A47</f>
        <v>FO-0043</v>
      </c>
      <c r="B47" s="46" t="str">
        <f>Base_Articles!C47</f>
        <v>Boitier d'épissurage BPEO T0 avec support</v>
      </c>
      <c r="C47" s="46" t="str">
        <f>Base_Articles!B47</f>
        <v>FO</v>
      </c>
      <c r="D47" s="47">
        <f>Base_Articles!K47</f>
        <v>0</v>
      </c>
      <c r="E47" s="47" t="e">
        <f>SUMIFS(#REF!,#REF!,A47)</f>
        <v>#REF!</v>
      </c>
      <c r="F47" s="47" t="e">
        <f>SUMIFS(#REF!,#REF!,A47)</f>
        <v>#REF!</v>
      </c>
      <c r="G47" s="47" t="e">
        <f t="shared" si="0"/>
        <v>#REF!</v>
      </c>
      <c r="H47" s="47">
        <f>Base_Articles!G47</f>
        <v>5</v>
      </c>
      <c r="I47" s="47">
        <f>Base_Articles!H47</f>
        <v>50</v>
      </c>
      <c r="J47" s="47">
        <f>Base_Articles!J47</f>
        <v>0</v>
      </c>
      <c r="K47" s="47" t="e">
        <f t="shared" si="1"/>
        <v>#REF!</v>
      </c>
      <c r="L47" s="46" t="e">
        <f t="shared" si="2"/>
        <v>#REF!</v>
      </c>
    </row>
    <row r="48" spans="1:12" x14ac:dyDescent="0.25">
      <c r="A48" s="48" t="str">
        <f>Base_Articles!A48</f>
        <v>FO-0044</v>
      </c>
      <c r="B48" s="48" t="str">
        <f>Base_Articles!C48</f>
        <v>Boitier d'épissurage BPEO T1 EDP 12 Pas</v>
      </c>
      <c r="C48" s="48" t="str">
        <f>Base_Articles!B48</f>
        <v>FO</v>
      </c>
      <c r="D48" s="49">
        <f>Base_Articles!K48</f>
        <v>0</v>
      </c>
      <c r="E48" s="49" t="e">
        <f>SUMIFS(#REF!,#REF!,A48)</f>
        <v>#REF!</v>
      </c>
      <c r="F48" s="49" t="e">
        <f>SUMIFS(#REF!,#REF!,A48)</f>
        <v>#REF!</v>
      </c>
      <c r="G48" s="49" t="e">
        <f t="shared" si="0"/>
        <v>#REF!</v>
      </c>
      <c r="H48" s="49">
        <f>Base_Articles!G48</f>
        <v>5</v>
      </c>
      <c r="I48" s="49">
        <f>Base_Articles!H48</f>
        <v>50</v>
      </c>
      <c r="J48" s="49">
        <f>Base_Articles!J48</f>
        <v>0</v>
      </c>
      <c r="K48" s="49" t="e">
        <f t="shared" si="1"/>
        <v>#REF!</v>
      </c>
      <c r="L48" s="48" t="e">
        <f t="shared" si="2"/>
        <v>#REF!</v>
      </c>
    </row>
    <row r="49" spans="1:12" x14ac:dyDescent="0.25">
      <c r="A49" s="46" t="str">
        <f>Base_Articles!A49</f>
        <v>FO-0045</v>
      </c>
      <c r="B49" s="46" t="str">
        <f>Base_Articles!C49</f>
        <v>PTO 1 sortie</v>
      </c>
      <c r="C49" s="46" t="str">
        <f>Base_Articles!B49</f>
        <v>FO</v>
      </c>
      <c r="D49" s="47">
        <f>Base_Articles!K49</f>
        <v>0</v>
      </c>
      <c r="E49" s="47" t="e">
        <f>SUMIFS(#REF!,#REF!,A49)</f>
        <v>#REF!</v>
      </c>
      <c r="F49" s="47" t="e">
        <f>SUMIFS(#REF!,#REF!,A49)</f>
        <v>#REF!</v>
      </c>
      <c r="G49" s="47" t="e">
        <f t="shared" si="0"/>
        <v>#REF!</v>
      </c>
      <c r="H49" s="47">
        <f>Base_Articles!G49</f>
        <v>5</v>
      </c>
      <c r="I49" s="47">
        <f>Base_Articles!H49</f>
        <v>50</v>
      </c>
      <c r="J49" s="47">
        <f>Base_Articles!J49</f>
        <v>0</v>
      </c>
      <c r="K49" s="47" t="e">
        <f t="shared" si="1"/>
        <v>#REF!</v>
      </c>
      <c r="L49" s="46" t="e">
        <f t="shared" si="2"/>
        <v>#REF!</v>
      </c>
    </row>
    <row r="50" spans="1:12" x14ac:dyDescent="0.25">
      <c r="A50" s="48" t="str">
        <f>Base_Articles!A50</f>
        <v>FO-0046</v>
      </c>
      <c r="B50" s="48" t="str">
        <f>Base_Articles!C50</f>
        <v>Boitier d'épissurage BPEO T2 CDP 28 Pas</v>
      </c>
      <c r="C50" s="48" t="str">
        <f>Base_Articles!B50</f>
        <v>FO</v>
      </c>
      <c r="D50" s="49">
        <f>Base_Articles!K50</f>
        <v>0</v>
      </c>
      <c r="E50" s="49" t="e">
        <f>SUMIFS(#REF!,#REF!,A50)</f>
        <v>#REF!</v>
      </c>
      <c r="F50" s="49" t="e">
        <f>SUMIFS(#REF!,#REF!,A50)</f>
        <v>#REF!</v>
      </c>
      <c r="G50" s="49" t="e">
        <f t="shared" si="0"/>
        <v>#REF!</v>
      </c>
      <c r="H50" s="49">
        <f>Base_Articles!G50</f>
        <v>5</v>
      </c>
      <c r="I50" s="49">
        <f>Base_Articles!H50</f>
        <v>50</v>
      </c>
      <c r="J50" s="49">
        <f>Base_Articles!J50</f>
        <v>0</v>
      </c>
      <c r="K50" s="49" t="e">
        <f t="shared" si="1"/>
        <v>#REF!</v>
      </c>
      <c r="L50" s="48" t="e">
        <f t="shared" si="2"/>
        <v>#REF!</v>
      </c>
    </row>
    <row r="51" spans="1:12" x14ac:dyDescent="0.25">
      <c r="A51" s="46" t="str">
        <f>Base_Articles!A51</f>
        <v>FO-0047</v>
      </c>
      <c r="B51" s="46" t="str">
        <f>Base_Articles!C51</f>
        <v>BPEO T1,5 FDP BRANCH</v>
      </c>
      <c r="C51" s="46" t="str">
        <f>Base_Articles!B51</f>
        <v>FO</v>
      </c>
      <c r="D51" s="47">
        <f>Base_Articles!K51</f>
        <v>0</v>
      </c>
      <c r="E51" s="47" t="e">
        <f>SUMIFS(#REF!,#REF!,A51)</f>
        <v>#REF!</v>
      </c>
      <c r="F51" s="47" t="e">
        <f>SUMIFS(#REF!,#REF!,A51)</f>
        <v>#REF!</v>
      </c>
      <c r="G51" s="47" t="e">
        <f t="shared" si="0"/>
        <v>#REF!</v>
      </c>
      <c r="H51" s="47">
        <f>Base_Articles!G51</f>
        <v>5</v>
      </c>
      <c r="I51" s="47">
        <f>Base_Articles!H51</f>
        <v>50</v>
      </c>
      <c r="J51" s="47">
        <f>Base_Articles!J51</f>
        <v>0</v>
      </c>
      <c r="K51" s="47" t="e">
        <f t="shared" si="1"/>
        <v>#REF!</v>
      </c>
      <c r="L51" s="46" t="e">
        <f t="shared" si="2"/>
        <v>#REF!</v>
      </c>
    </row>
    <row r="52" spans="1:12" x14ac:dyDescent="0.25">
      <c r="A52" s="48" t="str">
        <f>Base_Articles!A52</f>
        <v>FO-0048</v>
      </c>
      <c r="B52" s="48" t="str">
        <f>Base_Articles!C52</f>
        <v>Cassette Simple</v>
      </c>
      <c r="C52" s="48" t="str">
        <f>Base_Articles!B52</f>
        <v>FO</v>
      </c>
      <c r="D52" s="49">
        <f>Base_Articles!K52</f>
        <v>569</v>
      </c>
      <c r="E52" s="49" t="e">
        <f>SUMIFS(#REF!,#REF!,A52)</f>
        <v>#REF!</v>
      </c>
      <c r="F52" s="49" t="e">
        <f>SUMIFS(#REF!,#REF!,A52)</f>
        <v>#REF!</v>
      </c>
      <c r="G52" s="49" t="e">
        <f t="shared" si="0"/>
        <v>#REF!</v>
      </c>
      <c r="H52" s="49">
        <f>Base_Articles!G52</f>
        <v>114</v>
      </c>
      <c r="I52" s="49">
        <f>Base_Articles!H52</f>
        <v>854</v>
      </c>
      <c r="J52" s="49">
        <f>Base_Articles!J52</f>
        <v>0</v>
      </c>
      <c r="K52" s="49" t="e">
        <f t="shared" si="1"/>
        <v>#REF!</v>
      </c>
      <c r="L52" s="48" t="e">
        <f t="shared" si="2"/>
        <v>#REF!</v>
      </c>
    </row>
    <row r="53" spans="1:12" x14ac:dyDescent="0.25">
      <c r="A53" s="46" t="str">
        <f>Base_Articles!A53</f>
        <v>FO-0049</v>
      </c>
      <c r="B53" s="46" t="str">
        <f>Base_Articles!C53</f>
        <v>ECAM Double D5-20 Evol</v>
      </c>
      <c r="C53" s="46" t="str">
        <f>Base_Articles!B53</f>
        <v>FO</v>
      </c>
      <c r="D53" s="47">
        <f>Base_Articles!K53</f>
        <v>0</v>
      </c>
      <c r="E53" s="47" t="e">
        <f>SUMIFS(#REF!,#REF!,A53)</f>
        <v>#REF!</v>
      </c>
      <c r="F53" s="47" t="e">
        <f>SUMIFS(#REF!,#REF!,A53)</f>
        <v>#REF!</v>
      </c>
      <c r="G53" s="47" t="e">
        <f t="shared" si="0"/>
        <v>#REF!</v>
      </c>
      <c r="H53" s="47">
        <f>Base_Articles!G53</f>
        <v>5</v>
      </c>
      <c r="I53" s="47">
        <f>Base_Articles!H53</f>
        <v>50</v>
      </c>
      <c r="J53" s="47">
        <f>Base_Articles!J53</f>
        <v>0</v>
      </c>
      <c r="K53" s="47" t="e">
        <f t="shared" si="1"/>
        <v>#REF!</v>
      </c>
      <c r="L53" s="46" t="e">
        <f t="shared" si="2"/>
        <v>#REF!</v>
      </c>
    </row>
    <row r="54" spans="1:12" x14ac:dyDescent="0.25">
      <c r="A54" s="48" t="str">
        <f>Base_Articles!A54</f>
        <v>FO-0050</v>
      </c>
      <c r="B54" s="48" t="str">
        <f>Base_Articles!C54</f>
        <v>ECAM Double D5-27 Evol</v>
      </c>
      <c r="C54" s="48" t="str">
        <f>Base_Articles!B54</f>
        <v>FO</v>
      </c>
      <c r="D54" s="49">
        <f>Base_Articles!K54</f>
        <v>0</v>
      </c>
      <c r="E54" s="49" t="e">
        <f>SUMIFS(#REF!,#REF!,A54)</f>
        <v>#REF!</v>
      </c>
      <c r="F54" s="49" t="e">
        <f>SUMIFS(#REF!,#REF!,A54)</f>
        <v>#REF!</v>
      </c>
      <c r="G54" s="49" t="e">
        <f t="shared" si="0"/>
        <v>#REF!</v>
      </c>
      <c r="H54" s="49">
        <f>Base_Articles!G54</f>
        <v>5</v>
      </c>
      <c r="I54" s="49">
        <f>Base_Articles!H54</f>
        <v>50</v>
      </c>
      <c r="J54" s="49">
        <f>Base_Articles!J54</f>
        <v>0</v>
      </c>
      <c r="K54" s="49" t="e">
        <f t="shared" si="1"/>
        <v>#REF!</v>
      </c>
      <c r="L54" s="48" t="e">
        <f t="shared" si="2"/>
        <v>#REF!</v>
      </c>
    </row>
    <row r="55" spans="1:12" x14ac:dyDescent="0.25">
      <c r="A55" s="46" t="str">
        <f>Base_Articles!A55</f>
        <v>FO-0051</v>
      </c>
      <c r="B55" s="46" t="str">
        <f>Base_Articles!C55</f>
        <v>ECAM Double D18-15/18 Mecanique</v>
      </c>
      <c r="C55" s="46" t="str">
        <f>Base_Articles!B55</f>
        <v>FO</v>
      </c>
      <c r="D55" s="47">
        <f>Base_Articles!K55</f>
        <v>0</v>
      </c>
      <c r="E55" s="47" t="e">
        <f>SUMIFS(#REF!,#REF!,A55)</f>
        <v>#REF!</v>
      </c>
      <c r="F55" s="47" t="e">
        <f>SUMIFS(#REF!,#REF!,A55)</f>
        <v>#REF!</v>
      </c>
      <c r="G55" s="47" t="e">
        <f t="shared" si="0"/>
        <v>#REF!</v>
      </c>
      <c r="H55" s="47">
        <f>Base_Articles!G55</f>
        <v>5</v>
      </c>
      <c r="I55" s="47">
        <f>Base_Articles!H55</f>
        <v>50</v>
      </c>
      <c r="J55" s="47">
        <f>Base_Articles!J55</f>
        <v>0</v>
      </c>
      <c r="K55" s="47" t="e">
        <f t="shared" si="1"/>
        <v>#REF!</v>
      </c>
      <c r="L55" s="46" t="e">
        <f t="shared" si="2"/>
        <v>#REF!</v>
      </c>
    </row>
    <row r="56" spans="1:12" x14ac:dyDescent="0.25">
      <c r="A56" s="48" t="str">
        <f>Base_Articles!A56</f>
        <v>FO-0052</v>
      </c>
      <c r="B56" s="48" t="str">
        <f>Base_Articles!C56</f>
        <v>ECAM S7 - 3/7 Evol</v>
      </c>
      <c r="C56" s="48" t="str">
        <f>Base_Articles!B56</f>
        <v>FO</v>
      </c>
      <c r="D56" s="49">
        <f>Base_Articles!K56</f>
        <v>0</v>
      </c>
      <c r="E56" s="49" t="e">
        <f>SUMIFS(#REF!,#REF!,A56)</f>
        <v>#REF!</v>
      </c>
      <c r="F56" s="49" t="e">
        <f>SUMIFS(#REF!,#REF!,A56)</f>
        <v>#REF!</v>
      </c>
      <c r="G56" s="49" t="e">
        <f t="shared" si="0"/>
        <v>#REF!</v>
      </c>
      <c r="H56" s="49">
        <f>Base_Articles!G56</f>
        <v>5</v>
      </c>
      <c r="I56" s="49">
        <f>Base_Articles!H56</f>
        <v>50</v>
      </c>
      <c r="J56" s="49">
        <f>Base_Articles!J56</f>
        <v>0</v>
      </c>
      <c r="K56" s="49" t="e">
        <f t="shared" si="1"/>
        <v>#REF!</v>
      </c>
      <c r="L56" s="48" t="e">
        <f t="shared" si="2"/>
        <v>#REF!</v>
      </c>
    </row>
    <row r="57" spans="1:12" x14ac:dyDescent="0.25">
      <c r="A57" s="46" t="str">
        <f>Base_Articles!A57</f>
        <v>FO-0053</v>
      </c>
      <c r="B57" s="46" t="str">
        <f>Base_Articles!C57</f>
        <v>ECAM S9 5-3,5/9,5 Evol</v>
      </c>
      <c r="C57" s="46" t="str">
        <f>Base_Articles!B57</f>
        <v>FO</v>
      </c>
      <c r="D57" s="47">
        <f>Base_Articles!K57</f>
        <v>59</v>
      </c>
      <c r="E57" s="47" t="e">
        <f>SUMIFS(#REF!,#REF!,A57)</f>
        <v>#REF!</v>
      </c>
      <c r="F57" s="47" t="e">
        <f>SUMIFS(#REF!,#REF!,A57)</f>
        <v>#REF!</v>
      </c>
      <c r="G57" s="47" t="e">
        <f t="shared" si="0"/>
        <v>#REF!</v>
      </c>
      <c r="H57" s="47">
        <f>Base_Articles!G57</f>
        <v>12</v>
      </c>
      <c r="I57" s="47">
        <f>Base_Articles!H57</f>
        <v>88</v>
      </c>
      <c r="J57" s="47">
        <f>Base_Articles!J57</f>
        <v>0</v>
      </c>
      <c r="K57" s="47" t="e">
        <f t="shared" si="1"/>
        <v>#REF!</v>
      </c>
      <c r="L57" s="46" t="e">
        <f t="shared" si="2"/>
        <v>#REF!</v>
      </c>
    </row>
    <row r="58" spans="1:12" x14ac:dyDescent="0.25">
      <c r="A58" s="48" t="str">
        <f>Base_Articles!A58</f>
        <v>FO-0054</v>
      </c>
      <c r="B58" s="48" t="str">
        <f>Base_Articles!C58</f>
        <v>ECAM S12-4/12 Evol</v>
      </c>
      <c r="C58" s="48" t="str">
        <f>Base_Articles!B58</f>
        <v>FO</v>
      </c>
      <c r="D58" s="49">
        <f>Base_Articles!K58</f>
        <v>0</v>
      </c>
      <c r="E58" s="49" t="e">
        <f>SUMIFS(#REF!,#REF!,A58)</f>
        <v>#REF!</v>
      </c>
      <c r="F58" s="49" t="e">
        <f>SUMIFS(#REF!,#REF!,A58)</f>
        <v>#REF!</v>
      </c>
      <c r="G58" s="49" t="e">
        <f t="shared" si="0"/>
        <v>#REF!</v>
      </c>
      <c r="H58" s="49">
        <f>Base_Articles!G58</f>
        <v>5</v>
      </c>
      <c r="I58" s="49">
        <f>Base_Articles!H58</f>
        <v>50</v>
      </c>
      <c r="J58" s="49">
        <f>Base_Articles!J58</f>
        <v>0</v>
      </c>
      <c r="K58" s="49" t="e">
        <f t="shared" si="1"/>
        <v>#REF!</v>
      </c>
      <c r="L58" s="48" t="e">
        <f t="shared" si="2"/>
        <v>#REF!</v>
      </c>
    </row>
    <row r="59" spans="1:12" x14ac:dyDescent="0.25">
      <c r="A59" s="46" t="str">
        <f>Base_Articles!A59</f>
        <v>FO-0055</v>
      </c>
      <c r="B59" s="46" t="str">
        <f>Base_Articles!C59</f>
        <v>ECAM S18 - 5/18 Evol</v>
      </c>
      <c r="C59" s="46" t="str">
        <f>Base_Articles!B59</f>
        <v>FO</v>
      </c>
      <c r="D59" s="47">
        <f>Base_Articles!K59</f>
        <v>13</v>
      </c>
      <c r="E59" s="47" t="e">
        <f>SUMIFS(#REF!,#REF!,A59)</f>
        <v>#REF!</v>
      </c>
      <c r="F59" s="47" t="e">
        <f>SUMIFS(#REF!,#REF!,A59)</f>
        <v>#REF!</v>
      </c>
      <c r="G59" s="47" t="e">
        <f t="shared" si="0"/>
        <v>#REF!</v>
      </c>
      <c r="H59" s="47">
        <f>Base_Articles!G59</f>
        <v>5</v>
      </c>
      <c r="I59" s="47">
        <f>Base_Articles!H59</f>
        <v>50</v>
      </c>
      <c r="J59" s="47">
        <f>Base_Articles!J59</f>
        <v>0</v>
      </c>
      <c r="K59" s="47" t="e">
        <f t="shared" si="1"/>
        <v>#REF!</v>
      </c>
      <c r="L59" s="46" t="e">
        <f t="shared" si="2"/>
        <v>#REF!</v>
      </c>
    </row>
    <row r="60" spans="1:12" x14ac:dyDescent="0.25">
      <c r="A60" s="48" t="str">
        <f>Base_Articles!A60</f>
        <v>FO-0056</v>
      </c>
      <c r="B60" s="48" t="str">
        <f>Base_Articles!C60</f>
        <v>Gaine verte(100m)</v>
      </c>
      <c r="C60" s="48" t="str">
        <f>Base_Articles!B60</f>
        <v>FO</v>
      </c>
      <c r="D60" s="49">
        <f>Base_Articles!K60</f>
        <v>0</v>
      </c>
      <c r="E60" s="49" t="e">
        <f>SUMIFS(#REF!,#REF!,A60)</f>
        <v>#REF!</v>
      </c>
      <c r="F60" s="49" t="e">
        <f>SUMIFS(#REF!,#REF!,A60)</f>
        <v>#REF!</v>
      </c>
      <c r="G60" s="49" t="e">
        <f t="shared" si="0"/>
        <v>#REF!</v>
      </c>
      <c r="H60" s="49">
        <f>Base_Articles!G60</f>
        <v>5</v>
      </c>
      <c r="I60" s="49">
        <f>Base_Articles!H60</f>
        <v>50</v>
      </c>
      <c r="J60" s="49">
        <f>Base_Articles!J60</f>
        <v>0</v>
      </c>
      <c r="K60" s="49" t="e">
        <f t="shared" si="1"/>
        <v>#REF!</v>
      </c>
      <c r="L60" s="48" t="e">
        <f t="shared" si="2"/>
        <v>#REF!</v>
      </c>
    </row>
    <row r="61" spans="1:12" x14ac:dyDescent="0.25">
      <c r="A61" s="46" t="str">
        <f>Base_Articles!A61</f>
        <v>FO-0057</v>
      </c>
      <c r="B61" s="46" t="str">
        <f>Base_Articles!C61</f>
        <v>Sleeve (Smoov) 60 mm</v>
      </c>
      <c r="C61" s="46" t="str">
        <f>Base_Articles!B61</f>
        <v>FO</v>
      </c>
      <c r="D61" s="47">
        <f>Base_Articles!K61</f>
        <v>1112</v>
      </c>
      <c r="E61" s="47" t="e">
        <f>SUMIFS(#REF!,#REF!,A61)</f>
        <v>#REF!</v>
      </c>
      <c r="F61" s="47" t="e">
        <f>SUMIFS(#REF!,#REF!,A61)</f>
        <v>#REF!</v>
      </c>
      <c r="G61" s="47" t="e">
        <f t="shared" si="0"/>
        <v>#REF!</v>
      </c>
      <c r="H61" s="47">
        <f>Base_Articles!G61</f>
        <v>222</v>
      </c>
      <c r="I61" s="47">
        <f>Base_Articles!H61</f>
        <v>1668</v>
      </c>
      <c r="J61" s="47">
        <f>Base_Articles!J61</f>
        <v>0</v>
      </c>
      <c r="K61" s="47" t="e">
        <f t="shared" si="1"/>
        <v>#REF!</v>
      </c>
      <c r="L61" s="46" t="e">
        <f t="shared" si="2"/>
        <v>#REF!</v>
      </c>
    </row>
    <row r="62" spans="1:12" x14ac:dyDescent="0.25">
      <c r="A62" s="48" t="str">
        <f>Base_Articles!A62</f>
        <v>FO-0058</v>
      </c>
      <c r="B62" s="48" t="str">
        <f>Base_Articles!C62</f>
        <v>Etiquette plastique PM Verte</v>
      </c>
      <c r="C62" s="48" t="str">
        <f>Base_Articles!B62</f>
        <v>FO</v>
      </c>
      <c r="D62" s="49">
        <f>Base_Articles!K62</f>
        <v>91</v>
      </c>
      <c r="E62" s="49" t="e">
        <f>SUMIFS(#REF!,#REF!,A62)</f>
        <v>#REF!</v>
      </c>
      <c r="F62" s="49" t="e">
        <f>SUMIFS(#REF!,#REF!,A62)</f>
        <v>#REF!</v>
      </c>
      <c r="G62" s="49" t="e">
        <f t="shared" si="0"/>
        <v>#REF!</v>
      </c>
      <c r="H62" s="49">
        <f>Base_Articles!G62</f>
        <v>18</v>
      </c>
      <c r="I62" s="49">
        <f>Base_Articles!H62</f>
        <v>136</v>
      </c>
      <c r="J62" s="49">
        <f>Base_Articles!J62</f>
        <v>0</v>
      </c>
      <c r="K62" s="49" t="e">
        <f t="shared" si="1"/>
        <v>#REF!</v>
      </c>
      <c r="L62" s="48" t="e">
        <f t="shared" si="2"/>
        <v>#REF!</v>
      </c>
    </row>
    <row r="63" spans="1:12" x14ac:dyDescent="0.25">
      <c r="A63" s="46" t="str">
        <f>Base_Articles!A63</f>
        <v>FO-0059</v>
      </c>
      <c r="B63" s="46" t="str">
        <f>Base_Articles!C63</f>
        <v>Sleeve (Smoov) 40 mm</v>
      </c>
      <c r="C63" s="46" t="str">
        <f>Base_Articles!B63</f>
        <v>FO</v>
      </c>
      <c r="D63" s="47">
        <f>Base_Articles!K63</f>
        <v>0</v>
      </c>
      <c r="E63" s="47" t="e">
        <f>SUMIFS(#REF!,#REF!,A63)</f>
        <v>#REF!</v>
      </c>
      <c r="F63" s="47" t="e">
        <f>SUMIFS(#REF!,#REF!,A63)</f>
        <v>#REF!</v>
      </c>
      <c r="G63" s="47" t="e">
        <f t="shared" si="0"/>
        <v>#REF!</v>
      </c>
      <c r="H63" s="47">
        <f>Base_Articles!G63</f>
        <v>5</v>
      </c>
      <c r="I63" s="47">
        <f>Base_Articles!H63</f>
        <v>50</v>
      </c>
      <c r="J63" s="47">
        <f>Base_Articles!J63</f>
        <v>0</v>
      </c>
      <c r="K63" s="47" t="e">
        <f t="shared" si="1"/>
        <v>#REF!</v>
      </c>
      <c r="L63" s="46" t="e">
        <f t="shared" si="2"/>
        <v>#REF!</v>
      </c>
    </row>
    <row r="64" spans="1:12" x14ac:dyDescent="0.25">
      <c r="A64" s="48" t="str">
        <f>Base_Articles!A64</f>
        <v>FO-0060</v>
      </c>
      <c r="B64" s="48" t="str">
        <f>Base_Articles!C64</f>
        <v>Coupleur PLC 1*8  MTN gros</v>
      </c>
      <c r="C64" s="48" t="str">
        <f>Base_Articles!B64</f>
        <v>FO</v>
      </c>
      <c r="D64" s="49">
        <f>Base_Articles!K64</f>
        <v>0</v>
      </c>
      <c r="E64" s="49" t="e">
        <f>SUMIFS(#REF!,#REF!,A64)</f>
        <v>#REF!</v>
      </c>
      <c r="F64" s="49" t="e">
        <f>SUMIFS(#REF!,#REF!,A64)</f>
        <v>#REF!</v>
      </c>
      <c r="G64" s="49" t="e">
        <f t="shared" si="0"/>
        <v>#REF!</v>
      </c>
      <c r="H64" s="49">
        <f>Base_Articles!G64</f>
        <v>5</v>
      </c>
      <c r="I64" s="49">
        <f>Base_Articles!H64</f>
        <v>50</v>
      </c>
      <c r="J64" s="49">
        <f>Base_Articles!J64</f>
        <v>0</v>
      </c>
      <c r="K64" s="49" t="e">
        <f t="shared" si="1"/>
        <v>#REF!</v>
      </c>
      <c r="L64" s="48" t="e">
        <f t="shared" si="2"/>
        <v>#REF!</v>
      </c>
    </row>
    <row r="65" spans="1:12" x14ac:dyDescent="0.25">
      <c r="A65" s="46" t="str">
        <f>Base_Articles!A65</f>
        <v>FO-0061</v>
      </c>
      <c r="B65" s="46" t="str">
        <f>Base_Articles!C65</f>
        <v>Coupleur PLC 1*4  MTN gros</v>
      </c>
      <c r="C65" s="46" t="str">
        <f>Base_Articles!B65</f>
        <v>FO</v>
      </c>
      <c r="D65" s="47">
        <f>Base_Articles!K65</f>
        <v>8</v>
      </c>
      <c r="E65" s="47" t="e">
        <f>SUMIFS(#REF!,#REF!,A65)</f>
        <v>#REF!</v>
      </c>
      <c r="F65" s="47" t="e">
        <f>SUMIFS(#REF!,#REF!,A65)</f>
        <v>#REF!</v>
      </c>
      <c r="G65" s="47" t="e">
        <f t="shared" si="0"/>
        <v>#REF!</v>
      </c>
      <c r="H65" s="47">
        <f>Base_Articles!G65</f>
        <v>5</v>
      </c>
      <c r="I65" s="47">
        <f>Base_Articles!H65</f>
        <v>50</v>
      </c>
      <c r="J65" s="47">
        <f>Base_Articles!J65</f>
        <v>0</v>
      </c>
      <c r="K65" s="47" t="e">
        <f t="shared" si="1"/>
        <v>#REF!</v>
      </c>
      <c r="L65" s="46" t="e">
        <f t="shared" si="2"/>
        <v>#REF!</v>
      </c>
    </row>
    <row r="66" spans="1:12" x14ac:dyDescent="0.25">
      <c r="A66" s="48" t="str">
        <f>Base_Articles!A66</f>
        <v>FO-0062</v>
      </c>
      <c r="B66" s="48" t="str">
        <f>Base_Articles!C66</f>
        <v>cassette coupleur</v>
      </c>
      <c r="C66" s="48" t="str">
        <f>Base_Articles!B66</f>
        <v>FO</v>
      </c>
      <c r="D66" s="49">
        <f>Base_Articles!K66</f>
        <v>66</v>
      </c>
      <c r="E66" s="49" t="e">
        <f>SUMIFS(#REF!,#REF!,A66)</f>
        <v>#REF!</v>
      </c>
      <c r="F66" s="49" t="e">
        <f>SUMIFS(#REF!,#REF!,A66)</f>
        <v>#REF!</v>
      </c>
      <c r="G66" s="49" t="e">
        <f t="shared" si="0"/>
        <v>#REF!</v>
      </c>
      <c r="H66" s="49">
        <f>Base_Articles!G66</f>
        <v>13</v>
      </c>
      <c r="I66" s="49">
        <f>Base_Articles!H66</f>
        <v>99</v>
      </c>
      <c r="J66" s="49">
        <f>Base_Articles!J66</f>
        <v>0</v>
      </c>
      <c r="K66" s="49" t="e">
        <f t="shared" si="1"/>
        <v>#REF!</v>
      </c>
      <c r="L66" s="48" t="e">
        <f t="shared" si="2"/>
        <v>#REF!</v>
      </c>
    </row>
    <row r="67" spans="1:12" x14ac:dyDescent="0.25">
      <c r="A67" s="46" t="str">
        <f>Base_Articles!A67</f>
        <v>FO-0063</v>
      </c>
      <c r="B67" s="46" t="str">
        <f>Base_Articles!C67</f>
        <v>Coupleur PLC 1*8  MTN</v>
      </c>
      <c r="C67" s="46" t="str">
        <f>Base_Articles!B67</f>
        <v>FO</v>
      </c>
      <c r="D67" s="47">
        <f>Base_Articles!K67</f>
        <v>0</v>
      </c>
      <c r="E67" s="47" t="e">
        <f>SUMIFS(#REF!,#REF!,A67)</f>
        <v>#REF!</v>
      </c>
      <c r="F67" s="47" t="e">
        <f>SUMIFS(#REF!,#REF!,A67)</f>
        <v>#REF!</v>
      </c>
      <c r="G67" s="47" t="e">
        <f t="shared" si="0"/>
        <v>#REF!</v>
      </c>
      <c r="H67" s="47">
        <f>Base_Articles!G67</f>
        <v>5</v>
      </c>
      <c r="I67" s="47">
        <f>Base_Articles!H67</f>
        <v>50</v>
      </c>
      <c r="J67" s="47">
        <f>Base_Articles!J67</f>
        <v>0</v>
      </c>
      <c r="K67" s="47" t="e">
        <f t="shared" si="1"/>
        <v>#REF!</v>
      </c>
      <c r="L67" s="46" t="e">
        <f t="shared" si="2"/>
        <v>#REF!</v>
      </c>
    </row>
    <row r="68" spans="1:12" x14ac:dyDescent="0.25">
      <c r="A68" s="48" t="str">
        <f>Base_Articles!A68</f>
        <v>FO-0064</v>
      </c>
      <c r="B68" s="48" t="str">
        <f>Base_Articles!C68</f>
        <v>Coupleur PLC 1*8 France T</v>
      </c>
      <c r="C68" s="48" t="str">
        <f>Base_Articles!B68</f>
        <v>FO</v>
      </c>
      <c r="D68" s="49">
        <f>Base_Articles!K68</f>
        <v>0</v>
      </c>
      <c r="E68" s="49" t="e">
        <f>SUMIFS(#REF!,#REF!,A68)</f>
        <v>#REF!</v>
      </c>
      <c r="F68" s="49" t="e">
        <f>SUMIFS(#REF!,#REF!,A68)</f>
        <v>#REF!</v>
      </c>
      <c r="G68" s="49" t="e">
        <f t="shared" si="0"/>
        <v>#REF!</v>
      </c>
      <c r="H68" s="49">
        <f>Base_Articles!G68</f>
        <v>5</v>
      </c>
      <c r="I68" s="49">
        <f>Base_Articles!H68</f>
        <v>50</v>
      </c>
      <c r="J68" s="49">
        <f>Base_Articles!J68</f>
        <v>0</v>
      </c>
      <c r="K68" s="49" t="e">
        <f t="shared" si="1"/>
        <v>#REF!</v>
      </c>
      <c r="L68" s="48" t="e">
        <f t="shared" si="2"/>
        <v>#REF!</v>
      </c>
    </row>
    <row r="69" spans="1:12" x14ac:dyDescent="0.25">
      <c r="A69" s="46" t="str">
        <f>Base_Articles!A69</f>
        <v>FO-0065</v>
      </c>
      <c r="B69" s="46" t="str">
        <f>Base_Articles!C69</f>
        <v>Adaptateur ODF 48FO</v>
      </c>
      <c r="C69" s="46" t="str">
        <f>Base_Articles!B69</f>
        <v>FO</v>
      </c>
      <c r="D69" s="47">
        <f>Base_Articles!K69</f>
        <v>0</v>
      </c>
      <c r="E69" s="47" t="e">
        <f>SUMIFS(#REF!,#REF!,A69)</f>
        <v>#REF!</v>
      </c>
      <c r="F69" s="47" t="e">
        <f>SUMIFS(#REF!,#REF!,A69)</f>
        <v>#REF!</v>
      </c>
      <c r="G69" s="47" t="e">
        <f t="shared" ref="G69:G132" si="3">D69+E69-F69</f>
        <v>#REF!</v>
      </c>
      <c r="H69" s="47">
        <f>Base_Articles!G69</f>
        <v>5</v>
      </c>
      <c r="I69" s="47">
        <f>Base_Articles!H69</f>
        <v>50</v>
      </c>
      <c r="J69" s="47">
        <f>Base_Articles!J69</f>
        <v>0</v>
      </c>
      <c r="K69" s="47" t="e">
        <f t="shared" ref="K69:K132" si="4">G69*J69</f>
        <v>#REF!</v>
      </c>
      <c r="L69" s="46" t="e">
        <f t="shared" ref="L69:L132" si="5">IF(G69&lt;=0,"RUPTURE",IF(G69&lt;=H69,"CRITIQUE",IF(G69&gt;I69,"SURSTOCK","DISPONIBLE")))</f>
        <v>#REF!</v>
      </c>
    </row>
    <row r="70" spans="1:12" x14ac:dyDescent="0.25">
      <c r="A70" s="48" t="str">
        <f>Base_Articles!A70</f>
        <v>FO-0066</v>
      </c>
      <c r="B70" s="48" t="str">
        <f>Base_Articles!C70</f>
        <v>RFO boit éclt Deecam D18 pr tube D5X3</v>
      </c>
      <c r="C70" s="48" t="str">
        <f>Base_Articles!B70</f>
        <v>FO</v>
      </c>
      <c r="D70" s="49">
        <f>Base_Articles!K70</f>
        <v>0</v>
      </c>
      <c r="E70" s="49" t="e">
        <f>SUMIFS(#REF!,#REF!,A70)</f>
        <v>#REF!</v>
      </c>
      <c r="F70" s="49" t="e">
        <f>SUMIFS(#REF!,#REF!,A70)</f>
        <v>#REF!</v>
      </c>
      <c r="G70" s="49" t="e">
        <f t="shared" si="3"/>
        <v>#REF!</v>
      </c>
      <c r="H70" s="49">
        <f>Base_Articles!G70</f>
        <v>5</v>
      </c>
      <c r="I70" s="49">
        <f>Base_Articles!H70</f>
        <v>50</v>
      </c>
      <c r="J70" s="49">
        <f>Base_Articles!J70</f>
        <v>0</v>
      </c>
      <c r="K70" s="49" t="e">
        <f t="shared" si="4"/>
        <v>#REF!</v>
      </c>
      <c r="L70" s="48" t="e">
        <f t="shared" si="5"/>
        <v>#REF!</v>
      </c>
    </row>
    <row r="71" spans="1:12" x14ac:dyDescent="0.25">
      <c r="A71" s="46" t="str">
        <f>Base_Articles!A71</f>
        <v>FO-0067</v>
      </c>
      <c r="B71" s="46" t="str">
        <f>Base_Articles!C71</f>
        <v>RFO Chassis 12 Plateaux 144 FO</v>
      </c>
      <c r="C71" s="46" t="str">
        <f>Base_Articles!B71</f>
        <v>FO</v>
      </c>
      <c r="D71" s="47">
        <f>Base_Articles!K71</f>
        <v>0</v>
      </c>
      <c r="E71" s="47" t="e">
        <f>SUMIFS(#REF!,#REF!,A71)</f>
        <v>#REF!</v>
      </c>
      <c r="F71" s="47" t="e">
        <f>SUMIFS(#REF!,#REF!,A71)</f>
        <v>#REF!</v>
      </c>
      <c r="G71" s="47" t="e">
        <f t="shared" si="3"/>
        <v>#REF!</v>
      </c>
      <c r="H71" s="47">
        <f>Base_Articles!G71</f>
        <v>5</v>
      </c>
      <c r="I71" s="47">
        <f>Base_Articles!H71</f>
        <v>50</v>
      </c>
      <c r="J71" s="47">
        <f>Base_Articles!J71</f>
        <v>0</v>
      </c>
      <c r="K71" s="47" t="e">
        <f t="shared" si="4"/>
        <v>#REF!</v>
      </c>
      <c r="L71" s="46" t="e">
        <f t="shared" si="5"/>
        <v>#REF!</v>
      </c>
    </row>
    <row r="72" spans="1:12" x14ac:dyDescent="0.25">
      <c r="A72" s="48" t="str">
        <f>Base_Articles!A72</f>
        <v>FO-0068</v>
      </c>
      <c r="B72" s="48" t="str">
        <f>Base_Articles!C72</f>
        <v>RFO -Ferme 2M - 6 Niveaux +Acc</v>
      </c>
      <c r="C72" s="48" t="str">
        <f>Base_Articles!B72</f>
        <v>FO</v>
      </c>
      <c r="D72" s="49">
        <f>Base_Articles!K72</f>
        <v>0</v>
      </c>
      <c r="E72" s="49" t="e">
        <f>SUMIFS(#REF!,#REF!,A72)</f>
        <v>#REF!</v>
      </c>
      <c r="F72" s="49" t="e">
        <f>SUMIFS(#REF!,#REF!,A72)</f>
        <v>#REF!</v>
      </c>
      <c r="G72" s="49" t="e">
        <f t="shared" si="3"/>
        <v>#REF!</v>
      </c>
      <c r="H72" s="49">
        <f>Base_Articles!G72</f>
        <v>5</v>
      </c>
      <c r="I72" s="49">
        <f>Base_Articles!H72</f>
        <v>50</v>
      </c>
      <c r="J72" s="49">
        <f>Base_Articles!J72</f>
        <v>0</v>
      </c>
      <c r="K72" s="49" t="e">
        <f t="shared" si="4"/>
        <v>#REF!</v>
      </c>
      <c r="L72" s="48" t="e">
        <f t="shared" si="5"/>
        <v>#REF!</v>
      </c>
    </row>
    <row r="73" spans="1:12" x14ac:dyDescent="0.25">
      <c r="A73" s="46" t="str">
        <f>Base_Articles!A73</f>
        <v>FO-0069</v>
      </c>
      <c r="B73" s="46" t="str">
        <f>Base_Articles!C73</f>
        <v>RFO Modules préco 12 SC/APC</v>
      </c>
      <c r="C73" s="46" t="str">
        <f>Base_Articles!B73</f>
        <v>FO</v>
      </c>
      <c r="D73" s="47">
        <f>Base_Articles!K73</f>
        <v>0</v>
      </c>
      <c r="E73" s="47" t="e">
        <f>SUMIFS(#REF!,#REF!,A73)</f>
        <v>#REF!</v>
      </c>
      <c r="F73" s="47" t="e">
        <f>SUMIFS(#REF!,#REF!,A73)</f>
        <v>#REF!</v>
      </c>
      <c r="G73" s="47" t="e">
        <f t="shared" si="3"/>
        <v>#REF!</v>
      </c>
      <c r="H73" s="47">
        <f>Base_Articles!G73</f>
        <v>5</v>
      </c>
      <c r="I73" s="47">
        <f>Base_Articles!H73</f>
        <v>50</v>
      </c>
      <c r="J73" s="47">
        <f>Base_Articles!J73</f>
        <v>0</v>
      </c>
      <c r="K73" s="47" t="e">
        <f t="shared" si="4"/>
        <v>#REF!</v>
      </c>
      <c r="L73" s="46" t="e">
        <f t="shared" si="5"/>
        <v>#REF!</v>
      </c>
    </row>
    <row r="74" spans="1:12" x14ac:dyDescent="0.25">
      <c r="A74" s="48" t="str">
        <f>Base_Articles!A74</f>
        <v>FO-0070</v>
      </c>
      <c r="B74" s="48" t="str">
        <f>Base_Articles!C74</f>
        <v>Tube de protection FO D5X3 blanc RFO</v>
      </c>
      <c r="C74" s="48" t="str">
        <f>Base_Articles!B74</f>
        <v>FO</v>
      </c>
      <c r="D74" s="49">
        <f>Base_Articles!K74</f>
        <v>0</v>
      </c>
      <c r="E74" s="49" t="e">
        <f>SUMIFS(#REF!,#REF!,A74)</f>
        <v>#REF!</v>
      </c>
      <c r="F74" s="49" t="e">
        <f>SUMIFS(#REF!,#REF!,A74)</f>
        <v>#REF!</v>
      </c>
      <c r="G74" s="49" t="e">
        <f t="shared" si="3"/>
        <v>#REF!</v>
      </c>
      <c r="H74" s="49">
        <f>Base_Articles!G74</f>
        <v>5</v>
      </c>
      <c r="I74" s="49">
        <f>Base_Articles!H74</f>
        <v>50</v>
      </c>
      <c r="J74" s="49">
        <f>Base_Articles!J74</f>
        <v>0</v>
      </c>
      <c r="K74" s="49" t="e">
        <f t="shared" si="4"/>
        <v>#REF!</v>
      </c>
      <c r="L74" s="48" t="e">
        <f t="shared" si="5"/>
        <v>#REF!</v>
      </c>
    </row>
    <row r="75" spans="1:12" x14ac:dyDescent="0.25">
      <c r="A75" s="46" t="str">
        <f>Base_Articles!A75</f>
        <v>FO-0071</v>
      </c>
      <c r="B75" s="46" t="str">
        <f>Base_Articles!C75</f>
        <v>Anneau de tirage acier galva</v>
      </c>
      <c r="C75" s="46" t="str">
        <f>Base_Articles!B75</f>
        <v>FO</v>
      </c>
      <c r="D75" s="47">
        <f>Base_Articles!K75</f>
        <v>0</v>
      </c>
      <c r="E75" s="47" t="e">
        <f>SUMIFS(#REF!,#REF!,A75)</f>
        <v>#REF!</v>
      </c>
      <c r="F75" s="47" t="e">
        <f>SUMIFS(#REF!,#REF!,A75)</f>
        <v>#REF!</v>
      </c>
      <c r="G75" s="47" t="e">
        <f t="shared" si="3"/>
        <v>#REF!</v>
      </c>
      <c r="H75" s="47">
        <f>Base_Articles!G75</f>
        <v>5</v>
      </c>
      <c r="I75" s="47">
        <f>Base_Articles!H75</f>
        <v>50</v>
      </c>
      <c r="J75" s="47">
        <f>Base_Articles!J75</f>
        <v>0</v>
      </c>
      <c r="K75" s="47" t="e">
        <f t="shared" si="4"/>
        <v>#REF!</v>
      </c>
      <c r="L75" s="46" t="e">
        <f t="shared" si="5"/>
        <v>#REF!</v>
      </c>
    </row>
    <row r="76" spans="1:12" x14ac:dyDescent="0.25">
      <c r="A76" s="48" t="str">
        <f>Base_Articles!A76</f>
        <v>FO-0072</v>
      </c>
      <c r="B76" s="48" t="str">
        <f>Base_Articles!C76</f>
        <v>Breakout 72 FO modulo 12 LC/UPC 100m</v>
      </c>
      <c r="C76" s="48" t="str">
        <f>Base_Articles!B76</f>
        <v>FO</v>
      </c>
      <c r="D76" s="49">
        <f>Base_Articles!K76</f>
        <v>0</v>
      </c>
      <c r="E76" s="49" t="e">
        <f>SUMIFS(#REF!,#REF!,A76)</f>
        <v>#REF!</v>
      </c>
      <c r="F76" s="49" t="e">
        <f>SUMIFS(#REF!,#REF!,A76)</f>
        <v>#REF!</v>
      </c>
      <c r="G76" s="49" t="e">
        <f t="shared" si="3"/>
        <v>#REF!</v>
      </c>
      <c r="H76" s="49">
        <f>Base_Articles!G76</f>
        <v>5</v>
      </c>
      <c r="I76" s="49">
        <f>Base_Articles!H76</f>
        <v>50</v>
      </c>
      <c r="J76" s="49">
        <f>Base_Articles!J76</f>
        <v>0</v>
      </c>
      <c r="K76" s="49" t="e">
        <f t="shared" si="4"/>
        <v>#REF!</v>
      </c>
      <c r="L76" s="48" t="e">
        <f t="shared" si="5"/>
        <v>#REF!</v>
      </c>
    </row>
    <row r="77" spans="1:12" x14ac:dyDescent="0.25">
      <c r="A77" s="46" t="str">
        <f>Base_Articles!A77</f>
        <v>FO-0073</v>
      </c>
      <c r="B77" s="46" t="str">
        <f>Base_Articles!C77</f>
        <v>Etiquette plastique PM Orange</v>
      </c>
      <c r="C77" s="46" t="str">
        <f>Base_Articles!B77</f>
        <v>FO</v>
      </c>
      <c r="D77" s="47">
        <f>Base_Articles!K77</f>
        <v>0</v>
      </c>
      <c r="E77" s="47" t="e">
        <f>SUMIFS(#REF!,#REF!,A77)</f>
        <v>#REF!</v>
      </c>
      <c r="F77" s="47" t="e">
        <f>SUMIFS(#REF!,#REF!,A77)</f>
        <v>#REF!</v>
      </c>
      <c r="G77" s="47" t="e">
        <f t="shared" si="3"/>
        <v>#REF!</v>
      </c>
      <c r="H77" s="47">
        <f>Base_Articles!G77</f>
        <v>5</v>
      </c>
      <c r="I77" s="47">
        <f>Base_Articles!H77</f>
        <v>50</v>
      </c>
      <c r="J77" s="47">
        <f>Base_Articles!J77</f>
        <v>0</v>
      </c>
      <c r="K77" s="47" t="e">
        <f t="shared" si="4"/>
        <v>#REF!</v>
      </c>
      <c r="L77" s="46" t="e">
        <f t="shared" si="5"/>
        <v>#REF!</v>
      </c>
    </row>
    <row r="78" spans="1:12" x14ac:dyDescent="0.25">
      <c r="A78" s="48" t="str">
        <f>Base_Articles!A78</f>
        <v>FO-0074</v>
      </c>
      <c r="B78" s="48" t="str">
        <f>Base_Articles!C78</f>
        <v>Colle pour tuyau PVC (bt 1kg)</v>
      </c>
      <c r="C78" s="48" t="str">
        <f>Base_Articles!B78</f>
        <v>FO</v>
      </c>
      <c r="D78" s="49">
        <f>Base_Articles!K78</f>
        <v>0</v>
      </c>
      <c r="E78" s="49" t="e">
        <f>SUMIFS(#REF!,#REF!,A78)</f>
        <v>#REF!</v>
      </c>
      <c r="F78" s="49" t="e">
        <f>SUMIFS(#REF!,#REF!,A78)</f>
        <v>#REF!</v>
      </c>
      <c r="G78" s="49" t="e">
        <f t="shared" si="3"/>
        <v>#REF!</v>
      </c>
      <c r="H78" s="49">
        <f>Base_Articles!G78</f>
        <v>5</v>
      </c>
      <c r="I78" s="49">
        <f>Base_Articles!H78</f>
        <v>50</v>
      </c>
      <c r="J78" s="49">
        <f>Base_Articles!J78</f>
        <v>0</v>
      </c>
      <c r="K78" s="49" t="e">
        <f t="shared" si="4"/>
        <v>#REF!</v>
      </c>
      <c r="L78" s="48" t="e">
        <f t="shared" si="5"/>
        <v>#REF!</v>
      </c>
    </row>
    <row r="79" spans="1:12" x14ac:dyDescent="0.25">
      <c r="A79" s="46" t="str">
        <f>Base_Articles!A79</f>
        <v>FO-0075</v>
      </c>
      <c r="B79" s="46" t="str">
        <f>Base_Articles!C79</f>
        <v>Console à flasque L 35cm 2,8kg</v>
      </c>
      <c r="C79" s="46" t="str">
        <f>Base_Articles!B79</f>
        <v>FO</v>
      </c>
      <c r="D79" s="47">
        <f>Base_Articles!K79</f>
        <v>0</v>
      </c>
      <c r="E79" s="47" t="e">
        <f>SUMIFS(#REF!,#REF!,A79)</f>
        <v>#REF!</v>
      </c>
      <c r="F79" s="47" t="e">
        <f>SUMIFS(#REF!,#REF!,A79)</f>
        <v>#REF!</v>
      </c>
      <c r="G79" s="47" t="e">
        <f t="shared" si="3"/>
        <v>#REF!</v>
      </c>
      <c r="H79" s="47">
        <f>Base_Articles!G79</f>
        <v>5</v>
      </c>
      <c r="I79" s="47">
        <f>Base_Articles!H79</f>
        <v>50</v>
      </c>
      <c r="J79" s="47">
        <f>Base_Articles!J79</f>
        <v>0</v>
      </c>
      <c r="K79" s="47" t="e">
        <f t="shared" si="4"/>
        <v>#REF!</v>
      </c>
      <c r="L79" s="46" t="e">
        <f t="shared" si="5"/>
        <v>#REF!</v>
      </c>
    </row>
    <row r="80" spans="1:12" x14ac:dyDescent="0.25">
      <c r="A80" s="48" t="str">
        <f>Base_Articles!A80</f>
        <v>FO-0076</v>
      </c>
      <c r="B80" s="48" t="str">
        <f>Base_Articles!C80</f>
        <v>Console à flasque L 45cm 2,8kg</v>
      </c>
      <c r="C80" s="48" t="str">
        <f>Base_Articles!B80</f>
        <v>FO</v>
      </c>
      <c r="D80" s="49">
        <f>Base_Articles!K80</f>
        <v>0</v>
      </c>
      <c r="E80" s="49" t="e">
        <f>SUMIFS(#REF!,#REF!,A80)</f>
        <v>#REF!</v>
      </c>
      <c r="F80" s="49" t="e">
        <f>SUMIFS(#REF!,#REF!,A80)</f>
        <v>#REF!</v>
      </c>
      <c r="G80" s="49" t="e">
        <f t="shared" si="3"/>
        <v>#REF!</v>
      </c>
      <c r="H80" s="49">
        <f>Base_Articles!G80</f>
        <v>5</v>
      </c>
      <c r="I80" s="49">
        <f>Base_Articles!H80</f>
        <v>50</v>
      </c>
      <c r="J80" s="49">
        <f>Base_Articles!J80</f>
        <v>0</v>
      </c>
      <c r="K80" s="49" t="e">
        <f t="shared" si="4"/>
        <v>#REF!</v>
      </c>
      <c r="L80" s="48" t="e">
        <f t="shared" si="5"/>
        <v>#REF!</v>
      </c>
    </row>
    <row r="81" spans="1:12" x14ac:dyDescent="0.25">
      <c r="A81" s="46" t="str">
        <f>Base_Articles!A81</f>
        <v>FO-0077</v>
      </c>
      <c r="B81" s="46" t="str">
        <f>Base_Articles!C81</f>
        <v>Coude PVC D42/45mm 90° R210mm</v>
      </c>
      <c r="C81" s="46" t="str">
        <f>Base_Articles!B81</f>
        <v>FO</v>
      </c>
      <c r="D81" s="47">
        <f>Base_Articles!K81</f>
        <v>0</v>
      </c>
      <c r="E81" s="47" t="e">
        <f>SUMIFS(#REF!,#REF!,A81)</f>
        <v>#REF!</v>
      </c>
      <c r="F81" s="47" t="e">
        <f>SUMIFS(#REF!,#REF!,A81)</f>
        <v>#REF!</v>
      </c>
      <c r="G81" s="47" t="e">
        <f t="shared" si="3"/>
        <v>#REF!</v>
      </c>
      <c r="H81" s="47">
        <f>Base_Articles!G81</f>
        <v>5</v>
      </c>
      <c r="I81" s="47">
        <f>Base_Articles!H81</f>
        <v>50</v>
      </c>
      <c r="J81" s="47">
        <f>Base_Articles!J81</f>
        <v>0</v>
      </c>
      <c r="K81" s="47" t="e">
        <f t="shared" si="4"/>
        <v>#REF!</v>
      </c>
      <c r="L81" s="46" t="e">
        <f t="shared" si="5"/>
        <v>#REF!</v>
      </c>
    </row>
    <row r="82" spans="1:12" x14ac:dyDescent="0.25">
      <c r="A82" s="48" t="str">
        <f>Base_Articles!A82</f>
        <v>FO-0078</v>
      </c>
      <c r="B82" s="48" t="str">
        <f>Base_Articles!C82</f>
        <v>Décapant pr tuyau PVC (bte1kg)</v>
      </c>
      <c r="C82" s="48" t="str">
        <f>Base_Articles!B82</f>
        <v>FO</v>
      </c>
      <c r="D82" s="49">
        <f>Base_Articles!K82</f>
        <v>0</v>
      </c>
      <c r="E82" s="49" t="e">
        <f>SUMIFS(#REF!,#REF!,A82)</f>
        <v>#REF!</v>
      </c>
      <c r="F82" s="49" t="e">
        <f>SUMIFS(#REF!,#REF!,A82)</f>
        <v>#REF!</v>
      </c>
      <c r="G82" s="49" t="e">
        <f t="shared" si="3"/>
        <v>#REF!</v>
      </c>
      <c r="H82" s="49">
        <f>Base_Articles!G82</f>
        <v>5</v>
      </c>
      <c r="I82" s="49">
        <f>Base_Articles!H82</f>
        <v>50</v>
      </c>
      <c r="J82" s="49">
        <f>Base_Articles!J82</f>
        <v>0</v>
      </c>
      <c r="K82" s="49" t="e">
        <f t="shared" si="4"/>
        <v>#REF!</v>
      </c>
      <c r="L82" s="48" t="e">
        <f t="shared" si="5"/>
        <v>#REF!</v>
      </c>
    </row>
    <row r="83" spans="1:12" x14ac:dyDescent="0.25">
      <c r="A83" s="46" t="str">
        <f>Base_Articles!A83</f>
        <v>FO-0079</v>
      </c>
      <c r="B83" s="46" t="str">
        <f>Base_Articles!C83</f>
        <v>Dispositif horizont L2T 1060mm</v>
      </c>
      <c r="C83" s="46" t="str">
        <f>Base_Articles!B83</f>
        <v>FO</v>
      </c>
      <c r="D83" s="47">
        <f>Base_Articles!K83</f>
        <v>0</v>
      </c>
      <c r="E83" s="47" t="e">
        <f>SUMIFS(#REF!,#REF!,A83)</f>
        <v>#REF!</v>
      </c>
      <c r="F83" s="47" t="e">
        <f>SUMIFS(#REF!,#REF!,A83)</f>
        <v>#REF!</v>
      </c>
      <c r="G83" s="47" t="e">
        <f t="shared" si="3"/>
        <v>#REF!</v>
      </c>
      <c r="H83" s="47">
        <f>Base_Articles!G83</f>
        <v>5</v>
      </c>
      <c r="I83" s="47">
        <f>Base_Articles!H83</f>
        <v>50</v>
      </c>
      <c r="J83" s="47">
        <f>Base_Articles!J83</f>
        <v>0</v>
      </c>
      <c r="K83" s="47" t="e">
        <f t="shared" si="4"/>
        <v>#REF!</v>
      </c>
      <c r="L83" s="46" t="e">
        <f t="shared" si="5"/>
        <v>#REF!</v>
      </c>
    </row>
    <row r="84" spans="1:12" x14ac:dyDescent="0.25">
      <c r="A84" s="48" t="str">
        <f>Base_Articles!A84</f>
        <v>FO-0080</v>
      </c>
      <c r="B84" s="48" t="str">
        <f>Base_Articles!C84</f>
        <v>Dispositif horizont L3T 1200mm</v>
      </c>
      <c r="C84" s="48" t="str">
        <f>Base_Articles!B84</f>
        <v>FO</v>
      </c>
      <c r="D84" s="49">
        <f>Base_Articles!K84</f>
        <v>0</v>
      </c>
      <c r="E84" s="49" t="e">
        <f>SUMIFS(#REF!,#REF!,A84)</f>
        <v>#REF!</v>
      </c>
      <c r="F84" s="49" t="e">
        <f>SUMIFS(#REF!,#REF!,A84)</f>
        <v>#REF!</v>
      </c>
      <c r="G84" s="49" t="e">
        <f t="shared" si="3"/>
        <v>#REF!</v>
      </c>
      <c r="H84" s="49">
        <f>Base_Articles!G84</f>
        <v>5</v>
      </c>
      <c r="I84" s="49">
        <f>Base_Articles!H84</f>
        <v>50</v>
      </c>
      <c r="J84" s="49">
        <f>Base_Articles!J84</f>
        <v>0</v>
      </c>
      <c r="K84" s="49" t="e">
        <f t="shared" si="4"/>
        <v>#REF!</v>
      </c>
      <c r="L84" s="48" t="e">
        <f t="shared" si="5"/>
        <v>#REF!</v>
      </c>
    </row>
    <row r="85" spans="1:12" x14ac:dyDescent="0.25">
      <c r="A85" s="46" t="str">
        <f>Base_Articles!A85</f>
        <v>FO-0081</v>
      </c>
      <c r="B85" s="46" t="str">
        <f>Base_Articles!C85</f>
        <v>Equerre mobile GM L 240mm</v>
      </c>
      <c r="C85" s="46" t="str">
        <f>Base_Articles!B85</f>
        <v>FO</v>
      </c>
      <c r="D85" s="47">
        <f>Base_Articles!K85</f>
        <v>0</v>
      </c>
      <c r="E85" s="47" t="e">
        <f>SUMIFS(#REF!,#REF!,A85)</f>
        <v>#REF!</v>
      </c>
      <c r="F85" s="47" t="e">
        <f>SUMIFS(#REF!,#REF!,A85)</f>
        <v>#REF!</v>
      </c>
      <c r="G85" s="47" t="e">
        <f t="shared" si="3"/>
        <v>#REF!</v>
      </c>
      <c r="H85" s="47">
        <f>Base_Articles!G85</f>
        <v>5</v>
      </c>
      <c r="I85" s="47">
        <f>Base_Articles!H85</f>
        <v>50</v>
      </c>
      <c r="J85" s="47">
        <f>Base_Articles!J85</f>
        <v>0</v>
      </c>
      <c r="K85" s="47" t="e">
        <f t="shared" si="4"/>
        <v>#REF!</v>
      </c>
      <c r="L85" s="46" t="e">
        <f t="shared" si="5"/>
        <v>#REF!</v>
      </c>
    </row>
    <row r="86" spans="1:12" x14ac:dyDescent="0.25">
      <c r="A86" s="48" t="str">
        <f>Base_Articles!A86</f>
        <v>FO-0082</v>
      </c>
      <c r="B86" s="48" t="str">
        <f>Base_Articles!C86</f>
        <v>Equerre mobile PM L 120mm</v>
      </c>
      <c r="C86" s="48" t="str">
        <f>Base_Articles!B86</f>
        <v>FO</v>
      </c>
      <c r="D86" s="49">
        <f>Base_Articles!K86</f>
        <v>0</v>
      </c>
      <c r="E86" s="49" t="e">
        <f>SUMIFS(#REF!,#REF!,A86)</f>
        <v>#REF!</v>
      </c>
      <c r="F86" s="49" t="e">
        <f>SUMIFS(#REF!,#REF!,A86)</f>
        <v>#REF!</v>
      </c>
      <c r="G86" s="49" t="e">
        <f t="shared" si="3"/>
        <v>#REF!</v>
      </c>
      <c r="H86" s="49">
        <f>Base_Articles!G86</f>
        <v>5</v>
      </c>
      <c r="I86" s="49">
        <f>Base_Articles!H86</f>
        <v>50</v>
      </c>
      <c r="J86" s="49">
        <f>Base_Articles!J86</f>
        <v>0</v>
      </c>
      <c r="K86" s="49" t="e">
        <f t="shared" si="4"/>
        <v>#REF!</v>
      </c>
      <c r="L86" s="48" t="e">
        <f t="shared" si="5"/>
        <v>#REF!</v>
      </c>
    </row>
    <row r="87" spans="1:12" x14ac:dyDescent="0.25">
      <c r="A87" s="46" t="str">
        <f>Base_Articles!A87</f>
        <v>FO-0083</v>
      </c>
      <c r="B87" s="46" t="str">
        <f>Base_Articles!C87</f>
        <v>Fil nylon diamètre 3mm</v>
      </c>
      <c r="C87" s="46" t="str">
        <f>Base_Articles!B87</f>
        <v>FO</v>
      </c>
      <c r="D87" s="47">
        <f>Base_Articles!K87</f>
        <v>0</v>
      </c>
      <c r="E87" s="47" t="e">
        <f>SUMIFS(#REF!,#REF!,A87)</f>
        <v>#REF!</v>
      </c>
      <c r="F87" s="47" t="e">
        <f>SUMIFS(#REF!,#REF!,A87)</f>
        <v>#REF!</v>
      </c>
      <c r="G87" s="47" t="e">
        <f t="shared" si="3"/>
        <v>#REF!</v>
      </c>
      <c r="H87" s="47">
        <f>Base_Articles!G87</f>
        <v>5</v>
      </c>
      <c r="I87" s="47">
        <f>Base_Articles!H87</f>
        <v>50</v>
      </c>
      <c r="J87" s="47">
        <f>Base_Articles!J87</f>
        <v>0</v>
      </c>
      <c r="K87" s="47" t="e">
        <f t="shared" si="4"/>
        <v>#REF!</v>
      </c>
      <c r="L87" s="46" t="e">
        <f t="shared" si="5"/>
        <v>#REF!</v>
      </c>
    </row>
    <row r="88" spans="1:12" x14ac:dyDescent="0.25">
      <c r="A88" s="48" t="str">
        <f>Base_Articles!A88</f>
        <v>FO-0084</v>
      </c>
      <c r="B88" s="48" t="str">
        <f>Base_Articles!C88</f>
        <v>Grillage avertiss plast vert</v>
      </c>
      <c r="C88" s="48" t="str">
        <f>Base_Articles!B88</f>
        <v>FO</v>
      </c>
      <c r="D88" s="49">
        <f>Base_Articles!K88</f>
        <v>0</v>
      </c>
      <c r="E88" s="49" t="e">
        <f>SUMIFS(#REF!,#REF!,A88)</f>
        <v>#REF!</v>
      </c>
      <c r="F88" s="49" t="e">
        <f>SUMIFS(#REF!,#REF!,A88)</f>
        <v>#REF!</v>
      </c>
      <c r="G88" s="49" t="e">
        <f t="shared" si="3"/>
        <v>#REF!</v>
      </c>
      <c r="H88" s="49">
        <f>Base_Articles!G88</f>
        <v>5</v>
      </c>
      <c r="I88" s="49">
        <f>Base_Articles!H88</f>
        <v>50</v>
      </c>
      <c r="J88" s="49">
        <f>Base_Articles!J88</f>
        <v>0</v>
      </c>
      <c r="K88" s="49" t="e">
        <f t="shared" si="4"/>
        <v>#REF!</v>
      </c>
      <c r="L88" s="48" t="e">
        <f t="shared" si="5"/>
        <v>#REF!</v>
      </c>
    </row>
    <row r="89" spans="1:12" x14ac:dyDescent="0.25">
      <c r="A89" s="46" t="str">
        <f>Base_Articles!A89</f>
        <v>FO-0085</v>
      </c>
      <c r="B89" s="46" t="str">
        <f>Base_Articles!C89</f>
        <v>Poteau type LEGROS H 0.99 m</v>
      </c>
      <c r="C89" s="46" t="str">
        <f>Base_Articles!B89</f>
        <v>FO</v>
      </c>
      <c r="D89" s="47">
        <f>Base_Articles!K89</f>
        <v>0</v>
      </c>
      <c r="E89" s="47" t="e">
        <f>SUMIFS(#REF!,#REF!,A89)</f>
        <v>#REF!</v>
      </c>
      <c r="F89" s="47" t="e">
        <f>SUMIFS(#REF!,#REF!,A89)</f>
        <v>#REF!</v>
      </c>
      <c r="G89" s="47" t="e">
        <f t="shared" si="3"/>
        <v>#REF!</v>
      </c>
      <c r="H89" s="47">
        <f>Base_Articles!G89</f>
        <v>5</v>
      </c>
      <c r="I89" s="47">
        <f>Base_Articles!H89</f>
        <v>50</v>
      </c>
      <c r="J89" s="47">
        <f>Base_Articles!J89</f>
        <v>0</v>
      </c>
      <c r="K89" s="47" t="e">
        <f t="shared" si="4"/>
        <v>#REF!</v>
      </c>
      <c r="L89" s="46" t="e">
        <f t="shared" si="5"/>
        <v>#REF!</v>
      </c>
    </row>
    <row r="90" spans="1:12" x14ac:dyDescent="0.25">
      <c r="A90" s="48" t="str">
        <f>Base_Articles!A90</f>
        <v>FO-0086</v>
      </c>
      <c r="B90" s="48" t="str">
        <f>Base_Articles!C90</f>
        <v>Trappe fonte L3T (cornière ou cadre)</v>
      </c>
      <c r="C90" s="48" t="str">
        <f>Base_Articles!B90</f>
        <v>FO</v>
      </c>
      <c r="D90" s="49">
        <f>Base_Articles!K90</f>
        <v>0</v>
      </c>
      <c r="E90" s="49" t="e">
        <f>SUMIFS(#REF!,#REF!,A90)</f>
        <v>#REF!</v>
      </c>
      <c r="F90" s="49" t="e">
        <f>SUMIFS(#REF!,#REF!,A90)</f>
        <v>#REF!</v>
      </c>
      <c r="G90" s="49" t="e">
        <f t="shared" si="3"/>
        <v>#REF!</v>
      </c>
      <c r="H90" s="49">
        <f>Base_Articles!G90</f>
        <v>5</v>
      </c>
      <c r="I90" s="49">
        <f>Base_Articles!H90</f>
        <v>50</v>
      </c>
      <c r="J90" s="49">
        <f>Base_Articles!J90</f>
        <v>0</v>
      </c>
      <c r="K90" s="49" t="e">
        <f t="shared" si="4"/>
        <v>#REF!</v>
      </c>
      <c r="L90" s="48" t="e">
        <f t="shared" si="5"/>
        <v>#REF!</v>
      </c>
    </row>
    <row r="91" spans="1:12" x14ac:dyDescent="0.25">
      <c r="A91" s="46" t="str">
        <f>Base_Articles!A91</f>
        <v>FO-0087</v>
      </c>
      <c r="B91" s="46" t="str">
        <f>Base_Articles!C91</f>
        <v>Trappe fonte L3T (fermeture)</v>
      </c>
      <c r="C91" s="46" t="str">
        <f>Base_Articles!B91</f>
        <v>FO</v>
      </c>
      <c r="D91" s="47">
        <f>Base_Articles!K91</f>
        <v>0</v>
      </c>
      <c r="E91" s="47" t="e">
        <f>SUMIFS(#REF!,#REF!,A91)</f>
        <v>#REF!</v>
      </c>
      <c r="F91" s="47" t="e">
        <f>SUMIFS(#REF!,#REF!,A91)</f>
        <v>#REF!</v>
      </c>
      <c r="G91" s="47" t="e">
        <f t="shared" si="3"/>
        <v>#REF!</v>
      </c>
      <c r="H91" s="47">
        <f>Base_Articles!G91</f>
        <v>5</v>
      </c>
      <c r="I91" s="47">
        <f>Base_Articles!H91</f>
        <v>50</v>
      </c>
      <c r="J91" s="47">
        <f>Base_Articles!J91</f>
        <v>0</v>
      </c>
      <c r="K91" s="47" t="e">
        <f t="shared" si="4"/>
        <v>#REF!</v>
      </c>
      <c r="L91" s="46" t="e">
        <f t="shared" si="5"/>
        <v>#REF!</v>
      </c>
    </row>
    <row r="92" spans="1:12" x14ac:dyDescent="0.25">
      <c r="A92" s="48" t="str">
        <f>Base_Articles!A92</f>
        <v>FO-0088</v>
      </c>
      <c r="B92" s="48" t="str">
        <f>Base_Articles!C92</f>
        <v>Trappe fonte L5T</v>
      </c>
      <c r="C92" s="48" t="str">
        <f>Base_Articles!B92</f>
        <v>FO</v>
      </c>
      <c r="D92" s="49">
        <f>Base_Articles!K92</f>
        <v>0</v>
      </c>
      <c r="E92" s="49" t="e">
        <f>SUMIFS(#REF!,#REF!,A92)</f>
        <v>#REF!</v>
      </c>
      <c r="F92" s="49" t="e">
        <f>SUMIFS(#REF!,#REF!,A92)</f>
        <v>#REF!</v>
      </c>
      <c r="G92" s="49" t="e">
        <f t="shared" si="3"/>
        <v>#REF!</v>
      </c>
      <c r="H92" s="49">
        <f>Base_Articles!G92</f>
        <v>5</v>
      </c>
      <c r="I92" s="49">
        <f>Base_Articles!H92</f>
        <v>50</v>
      </c>
      <c r="J92" s="49">
        <f>Base_Articles!J92</f>
        <v>0</v>
      </c>
      <c r="K92" s="49" t="e">
        <f t="shared" si="4"/>
        <v>#REF!</v>
      </c>
      <c r="L92" s="48" t="e">
        <f t="shared" si="5"/>
        <v>#REF!</v>
      </c>
    </row>
    <row r="93" spans="1:12" x14ac:dyDescent="0.25">
      <c r="A93" s="46" t="str">
        <f>Base_Articles!A93</f>
        <v>FO-0089</v>
      </c>
      <c r="B93" s="46" t="str">
        <f>Base_Articles!C93</f>
        <v>Trappe fonte L2T</v>
      </c>
      <c r="C93" s="46" t="str">
        <f>Base_Articles!B93</f>
        <v>FO</v>
      </c>
      <c r="D93" s="47">
        <f>Base_Articles!K93</f>
        <v>0</v>
      </c>
      <c r="E93" s="47" t="e">
        <f>SUMIFS(#REF!,#REF!,A93)</f>
        <v>#REF!</v>
      </c>
      <c r="F93" s="47" t="e">
        <f>SUMIFS(#REF!,#REF!,A93)</f>
        <v>#REF!</v>
      </c>
      <c r="G93" s="47" t="e">
        <f t="shared" si="3"/>
        <v>#REF!</v>
      </c>
      <c r="H93" s="47">
        <f>Base_Articles!G93</f>
        <v>5</v>
      </c>
      <c r="I93" s="47">
        <f>Base_Articles!H93</f>
        <v>50</v>
      </c>
      <c r="J93" s="47">
        <f>Base_Articles!J93</f>
        <v>0</v>
      </c>
      <c r="K93" s="47" t="e">
        <f t="shared" si="4"/>
        <v>#REF!</v>
      </c>
      <c r="L93" s="46" t="e">
        <f t="shared" si="5"/>
        <v>#REF!</v>
      </c>
    </row>
    <row r="94" spans="1:12" x14ac:dyDescent="0.25">
      <c r="A94" s="48" t="str">
        <f>Base_Articles!A94</f>
        <v>FO-0090</v>
      </c>
      <c r="B94" s="48" t="str">
        <f>Base_Articles!C94</f>
        <v>Tuyau PVC 6m, D 42/45 (45x1,8)</v>
      </c>
      <c r="C94" s="48" t="str">
        <f>Base_Articles!B94</f>
        <v>FO</v>
      </c>
      <c r="D94" s="49">
        <f>Base_Articles!K94</f>
        <v>0</v>
      </c>
      <c r="E94" s="49" t="e">
        <f>SUMIFS(#REF!,#REF!,A94)</f>
        <v>#REF!</v>
      </c>
      <c r="F94" s="49" t="e">
        <f>SUMIFS(#REF!,#REF!,A94)</f>
        <v>#REF!</v>
      </c>
      <c r="G94" s="49" t="e">
        <f t="shared" si="3"/>
        <v>#REF!</v>
      </c>
      <c r="H94" s="49">
        <f>Base_Articles!G94</f>
        <v>5</v>
      </c>
      <c r="I94" s="49">
        <f>Base_Articles!H94</f>
        <v>50</v>
      </c>
      <c r="J94" s="49">
        <f>Base_Articles!J94</f>
        <v>0</v>
      </c>
      <c r="K94" s="49" t="e">
        <f t="shared" si="4"/>
        <v>#REF!</v>
      </c>
      <c r="L94" s="48" t="e">
        <f t="shared" si="5"/>
        <v>#REF!</v>
      </c>
    </row>
    <row r="95" spans="1:12" x14ac:dyDescent="0.25">
      <c r="A95" s="46" t="str">
        <f>Base_Articles!A95</f>
        <v>FO-0091</v>
      </c>
      <c r="B95" s="46" t="str">
        <f>Base_Articles!C95</f>
        <v>Tuyau PVC 6m, D 110</v>
      </c>
      <c r="C95" s="46" t="str">
        <f>Base_Articles!B95</f>
        <v>FO</v>
      </c>
      <c r="D95" s="47">
        <f>Base_Articles!K95</f>
        <v>0</v>
      </c>
      <c r="E95" s="47" t="e">
        <f>SUMIFS(#REF!,#REF!,A95)</f>
        <v>#REF!</v>
      </c>
      <c r="F95" s="47" t="e">
        <f>SUMIFS(#REF!,#REF!,A95)</f>
        <v>#REF!</v>
      </c>
      <c r="G95" s="47" t="e">
        <f t="shared" si="3"/>
        <v>#REF!</v>
      </c>
      <c r="H95" s="47">
        <f>Base_Articles!G95</f>
        <v>5</v>
      </c>
      <c r="I95" s="47">
        <f>Base_Articles!H95</f>
        <v>50</v>
      </c>
      <c r="J95" s="47">
        <f>Base_Articles!J95</f>
        <v>0</v>
      </c>
      <c r="K95" s="47" t="e">
        <f t="shared" si="4"/>
        <v>#REF!</v>
      </c>
      <c r="L95" s="46" t="e">
        <f t="shared" si="5"/>
        <v>#REF!</v>
      </c>
    </row>
    <row r="96" spans="1:12" x14ac:dyDescent="0.25">
      <c r="A96" s="48" t="str">
        <f>Base_Articles!A96</f>
        <v>FO-0092</v>
      </c>
      <c r="B96" s="48" t="str">
        <f>Base_Articles!C96</f>
        <v>Tuyau Acier galva 6m, D 75/80</v>
      </c>
      <c r="C96" s="48" t="str">
        <f>Base_Articles!B96</f>
        <v>FO</v>
      </c>
      <c r="D96" s="49">
        <f>Base_Articles!K96</f>
        <v>0</v>
      </c>
      <c r="E96" s="49" t="e">
        <f>SUMIFS(#REF!,#REF!,A96)</f>
        <v>#REF!</v>
      </c>
      <c r="F96" s="49" t="e">
        <f>SUMIFS(#REF!,#REF!,A96)</f>
        <v>#REF!</v>
      </c>
      <c r="G96" s="49" t="e">
        <f t="shared" si="3"/>
        <v>#REF!</v>
      </c>
      <c r="H96" s="49">
        <f>Base_Articles!G96</f>
        <v>5</v>
      </c>
      <c r="I96" s="49">
        <f>Base_Articles!H96</f>
        <v>50</v>
      </c>
      <c r="J96" s="49">
        <f>Base_Articles!J96</f>
        <v>0</v>
      </c>
      <c r="K96" s="49" t="e">
        <f t="shared" si="4"/>
        <v>#REF!</v>
      </c>
      <c r="L96" s="48" t="e">
        <f t="shared" si="5"/>
        <v>#REF!</v>
      </c>
    </row>
    <row r="97" spans="1:12" x14ac:dyDescent="0.25">
      <c r="A97" s="46" t="str">
        <f>Base_Articles!A97</f>
        <v>FO-0093</v>
      </c>
      <c r="B97" s="46" t="str">
        <f>Base_Articles!C97</f>
        <v>bouchon polyethyl pr tuy 42/45</v>
      </c>
      <c r="C97" s="46" t="str">
        <f>Base_Articles!B97</f>
        <v>FO</v>
      </c>
      <c r="D97" s="47">
        <f>Base_Articles!K97</f>
        <v>0</v>
      </c>
      <c r="E97" s="47" t="e">
        <f>SUMIFS(#REF!,#REF!,A97)</f>
        <v>#REF!</v>
      </c>
      <c r="F97" s="47" t="e">
        <f>SUMIFS(#REF!,#REF!,A97)</f>
        <v>#REF!</v>
      </c>
      <c r="G97" s="47" t="e">
        <f t="shared" si="3"/>
        <v>#REF!</v>
      </c>
      <c r="H97" s="47">
        <f>Base_Articles!G97</f>
        <v>5</v>
      </c>
      <c r="I97" s="47">
        <f>Base_Articles!H97</f>
        <v>50</v>
      </c>
      <c r="J97" s="47">
        <f>Base_Articles!J97</f>
        <v>0</v>
      </c>
      <c r="K97" s="47" t="e">
        <f t="shared" si="4"/>
        <v>#REF!</v>
      </c>
      <c r="L97" s="46" t="e">
        <f t="shared" si="5"/>
        <v>#REF!</v>
      </c>
    </row>
    <row r="98" spans="1:12" x14ac:dyDescent="0.25">
      <c r="A98" s="48" t="str">
        <f>Base_Articles!A98</f>
        <v>FO-0094</v>
      </c>
      <c r="B98" s="48" t="str">
        <f>Base_Articles!C98</f>
        <v>Module optique d'immeuble 48 SC/APC</v>
      </c>
      <c r="C98" s="48" t="str">
        <f>Base_Articles!B98</f>
        <v>FO</v>
      </c>
      <c r="D98" s="49">
        <f>Base_Articles!K98</f>
        <v>0</v>
      </c>
      <c r="E98" s="49" t="e">
        <f>SUMIFS(#REF!,#REF!,A98)</f>
        <v>#REF!</v>
      </c>
      <c r="F98" s="49" t="e">
        <f>SUMIFS(#REF!,#REF!,A98)</f>
        <v>#REF!</v>
      </c>
      <c r="G98" s="49" t="e">
        <f t="shared" si="3"/>
        <v>#REF!</v>
      </c>
      <c r="H98" s="49">
        <f>Base_Articles!G98</f>
        <v>5</v>
      </c>
      <c r="I98" s="49">
        <f>Base_Articles!H98</f>
        <v>50</v>
      </c>
      <c r="J98" s="49">
        <f>Base_Articles!J98</f>
        <v>0</v>
      </c>
      <c r="K98" s="49" t="e">
        <f t="shared" si="4"/>
        <v>#REF!</v>
      </c>
      <c r="L98" s="48" t="e">
        <f t="shared" si="5"/>
        <v>#REF!</v>
      </c>
    </row>
    <row r="99" spans="1:12" x14ac:dyDescent="0.25">
      <c r="A99" s="46" t="str">
        <f>Base_Articles!A99</f>
        <v>FO-0095</v>
      </c>
      <c r="B99" s="46" t="str">
        <f>Base_Articles!C99</f>
        <v>Module optique d'immeuble 1*32</v>
      </c>
      <c r="C99" s="46" t="str">
        <f>Base_Articles!B99</f>
        <v>FO</v>
      </c>
      <c r="D99" s="47">
        <f>Base_Articles!K99</f>
        <v>0</v>
      </c>
      <c r="E99" s="47" t="e">
        <f>SUMIFS(#REF!,#REF!,A99)</f>
        <v>#REF!</v>
      </c>
      <c r="F99" s="47" t="e">
        <f>SUMIFS(#REF!,#REF!,A99)</f>
        <v>#REF!</v>
      </c>
      <c r="G99" s="47" t="e">
        <f t="shared" si="3"/>
        <v>#REF!</v>
      </c>
      <c r="H99" s="47">
        <f>Base_Articles!G99</f>
        <v>5</v>
      </c>
      <c r="I99" s="47">
        <f>Base_Articles!H99</f>
        <v>50</v>
      </c>
      <c r="J99" s="47">
        <f>Base_Articles!J99</f>
        <v>0</v>
      </c>
      <c r="K99" s="47" t="e">
        <f t="shared" si="4"/>
        <v>#REF!</v>
      </c>
      <c r="L99" s="46" t="e">
        <f t="shared" si="5"/>
        <v>#REF!</v>
      </c>
    </row>
    <row r="100" spans="1:12" x14ac:dyDescent="0.25">
      <c r="A100" s="48" t="str">
        <f>Base_Articles!A100</f>
        <v>FO-0096</v>
      </c>
      <c r="B100" s="48" t="str">
        <f>Base_Articles!C100</f>
        <v>Support mural pr module</v>
      </c>
      <c r="C100" s="48" t="str">
        <f>Base_Articles!B100</f>
        <v>FO</v>
      </c>
      <c r="D100" s="49">
        <f>Base_Articles!K100</f>
        <v>0</v>
      </c>
      <c r="E100" s="49" t="e">
        <f>SUMIFS(#REF!,#REF!,A100)</f>
        <v>#REF!</v>
      </c>
      <c r="F100" s="49" t="e">
        <f>SUMIFS(#REF!,#REF!,A100)</f>
        <v>#REF!</v>
      </c>
      <c r="G100" s="49" t="e">
        <f t="shared" si="3"/>
        <v>#REF!</v>
      </c>
      <c r="H100" s="49">
        <f>Base_Articles!G100</f>
        <v>5</v>
      </c>
      <c r="I100" s="49">
        <f>Base_Articles!H100</f>
        <v>50</v>
      </c>
      <c r="J100" s="49">
        <f>Base_Articles!J100</f>
        <v>0</v>
      </c>
      <c r="K100" s="49" t="e">
        <f t="shared" si="4"/>
        <v>#REF!</v>
      </c>
      <c r="L100" s="48" t="e">
        <f t="shared" si="5"/>
        <v>#REF!</v>
      </c>
    </row>
    <row r="101" spans="1:12" x14ac:dyDescent="0.25">
      <c r="A101" s="46" t="str">
        <f>Base_Articles!A101</f>
        <v>FO-0097</v>
      </c>
      <c r="B101" s="46" t="str">
        <f>Base_Articles!C101</f>
        <v>Tiroir Optique 12FO OCI</v>
      </c>
      <c r="C101" s="46" t="str">
        <f>Base_Articles!B101</f>
        <v>FO</v>
      </c>
      <c r="D101" s="47">
        <f>Base_Articles!K101</f>
        <v>0</v>
      </c>
      <c r="E101" s="47" t="e">
        <f>SUMIFS(#REF!,#REF!,A101)</f>
        <v>#REF!</v>
      </c>
      <c r="F101" s="47" t="e">
        <f>SUMIFS(#REF!,#REF!,A101)</f>
        <v>#REF!</v>
      </c>
      <c r="G101" s="47" t="e">
        <f t="shared" si="3"/>
        <v>#REF!</v>
      </c>
      <c r="H101" s="47">
        <f>Base_Articles!G101</f>
        <v>5</v>
      </c>
      <c r="I101" s="47">
        <f>Base_Articles!H101</f>
        <v>50</v>
      </c>
      <c r="J101" s="47">
        <f>Base_Articles!J101</f>
        <v>0</v>
      </c>
      <c r="K101" s="47" t="e">
        <f t="shared" si="4"/>
        <v>#REF!</v>
      </c>
      <c r="L101" s="46" t="e">
        <f t="shared" si="5"/>
        <v>#REF!</v>
      </c>
    </row>
    <row r="102" spans="1:12" x14ac:dyDescent="0.25">
      <c r="A102" s="48" t="str">
        <f>Base_Articles!A102</f>
        <v>FO-0098</v>
      </c>
      <c r="B102" s="48" t="str">
        <f>Base_Articles!C102</f>
        <v>Tiroir Optique 24FO OCI</v>
      </c>
      <c r="C102" s="48" t="str">
        <f>Base_Articles!B102</f>
        <v>FO</v>
      </c>
      <c r="D102" s="49">
        <f>Base_Articles!K102</f>
        <v>0</v>
      </c>
      <c r="E102" s="49" t="e">
        <f>SUMIFS(#REF!,#REF!,A102)</f>
        <v>#REF!</v>
      </c>
      <c r="F102" s="49" t="e">
        <f>SUMIFS(#REF!,#REF!,A102)</f>
        <v>#REF!</v>
      </c>
      <c r="G102" s="49" t="e">
        <f t="shared" si="3"/>
        <v>#REF!</v>
      </c>
      <c r="H102" s="49">
        <f>Base_Articles!G102</f>
        <v>5</v>
      </c>
      <c r="I102" s="49">
        <f>Base_Articles!H102</f>
        <v>50</v>
      </c>
      <c r="J102" s="49">
        <f>Base_Articles!J102</f>
        <v>0</v>
      </c>
      <c r="K102" s="49" t="e">
        <f t="shared" si="4"/>
        <v>#REF!</v>
      </c>
      <c r="L102" s="48" t="e">
        <f t="shared" si="5"/>
        <v>#REF!</v>
      </c>
    </row>
    <row r="103" spans="1:12" x14ac:dyDescent="0.25">
      <c r="A103" s="46" t="str">
        <f>Base_Articles!A103</f>
        <v>FO-0099</v>
      </c>
      <c r="B103" s="46" t="str">
        <f>Base_Articles!C103</f>
        <v>Tiroir Optique 24FO FC/UPC</v>
      </c>
      <c r="C103" s="46" t="str">
        <f>Base_Articles!B103</f>
        <v>FO</v>
      </c>
      <c r="D103" s="47">
        <f>Base_Articles!K103</f>
        <v>0</v>
      </c>
      <c r="E103" s="47" t="e">
        <f>SUMIFS(#REF!,#REF!,A103)</f>
        <v>#REF!</v>
      </c>
      <c r="F103" s="47" t="e">
        <f>SUMIFS(#REF!,#REF!,A103)</f>
        <v>#REF!</v>
      </c>
      <c r="G103" s="47" t="e">
        <f t="shared" si="3"/>
        <v>#REF!</v>
      </c>
      <c r="H103" s="47">
        <f>Base_Articles!G103</f>
        <v>5</v>
      </c>
      <c r="I103" s="47">
        <f>Base_Articles!H103</f>
        <v>50</v>
      </c>
      <c r="J103" s="47">
        <f>Base_Articles!J103</f>
        <v>0</v>
      </c>
      <c r="K103" s="47" t="e">
        <f t="shared" si="4"/>
        <v>#REF!</v>
      </c>
      <c r="L103" s="46" t="e">
        <f t="shared" si="5"/>
        <v>#REF!</v>
      </c>
    </row>
    <row r="104" spans="1:12" x14ac:dyDescent="0.25">
      <c r="A104" s="48" t="str">
        <f>Base_Articles!A104</f>
        <v>FO-0100</v>
      </c>
      <c r="B104" s="48" t="str">
        <f>Base_Articles!C104</f>
        <v>Tiroir Optique 48FO FC/UPC</v>
      </c>
      <c r="C104" s="48" t="str">
        <f>Base_Articles!B104</f>
        <v>FO</v>
      </c>
      <c r="D104" s="49">
        <f>Base_Articles!K104</f>
        <v>6</v>
      </c>
      <c r="E104" s="49" t="e">
        <f>SUMIFS(#REF!,#REF!,A104)</f>
        <v>#REF!</v>
      </c>
      <c r="F104" s="49" t="e">
        <f>SUMIFS(#REF!,#REF!,A104)</f>
        <v>#REF!</v>
      </c>
      <c r="G104" s="49" t="e">
        <f t="shared" si="3"/>
        <v>#REF!</v>
      </c>
      <c r="H104" s="49">
        <f>Base_Articles!G104</f>
        <v>5</v>
      </c>
      <c r="I104" s="49">
        <f>Base_Articles!H104</f>
        <v>50</v>
      </c>
      <c r="J104" s="49">
        <f>Base_Articles!J104</f>
        <v>0</v>
      </c>
      <c r="K104" s="49" t="e">
        <f t="shared" si="4"/>
        <v>#REF!</v>
      </c>
      <c r="L104" s="48" t="e">
        <f t="shared" si="5"/>
        <v>#REF!</v>
      </c>
    </row>
    <row r="105" spans="1:12" x14ac:dyDescent="0.25">
      <c r="A105" s="46" t="str">
        <f>Base_Articles!A105</f>
        <v>FO-0101</v>
      </c>
      <c r="B105" s="46" t="str">
        <f>Base_Articles!C105</f>
        <v>Tiroir Optique 36FO FC/UPC</v>
      </c>
      <c r="C105" s="46" t="str">
        <f>Base_Articles!B105</f>
        <v>FO</v>
      </c>
      <c r="D105" s="47">
        <f>Base_Articles!K105</f>
        <v>0</v>
      </c>
      <c r="E105" s="47" t="e">
        <f>SUMIFS(#REF!,#REF!,A105)</f>
        <v>#REF!</v>
      </c>
      <c r="F105" s="47" t="e">
        <f>SUMIFS(#REF!,#REF!,A105)</f>
        <v>#REF!</v>
      </c>
      <c r="G105" s="47" t="e">
        <f t="shared" si="3"/>
        <v>#REF!</v>
      </c>
      <c r="H105" s="47">
        <f>Base_Articles!G105</f>
        <v>5</v>
      </c>
      <c r="I105" s="47">
        <f>Base_Articles!H105</f>
        <v>50</v>
      </c>
      <c r="J105" s="47">
        <f>Base_Articles!J105</f>
        <v>0</v>
      </c>
      <c r="K105" s="47" t="e">
        <f t="shared" si="4"/>
        <v>#REF!</v>
      </c>
      <c r="L105" s="46" t="e">
        <f t="shared" si="5"/>
        <v>#REF!</v>
      </c>
    </row>
    <row r="106" spans="1:12" x14ac:dyDescent="0.25">
      <c r="A106" s="48" t="str">
        <f>Base_Articles!A106</f>
        <v>FO-0102</v>
      </c>
      <c r="B106" s="48" t="str">
        <f>Base_Articles!C106</f>
        <v>Tiroir Optique 6FO FC/UPC</v>
      </c>
      <c r="C106" s="48" t="str">
        <f>Base_Articles!B106</f>
        <v>FO</v>
      </c>
      <c r="D106" s="49">
        <f>Base_Articles!K106</f>
        <v>0</v>
      </c>
      <c r="E106" s="49" t="e">
        <f>SUMIFS(#REF!,#REF!,A106)</f>
        <v>#REF!</v>
      </c>
      <c r="F106" s="49" t="e">
        <f>SUMIFS(#REF!,#REF!,A106)</f>
        <v>#REF!</v>
      </c>
      <c r="G106" s="49" t="e">
        <f t="shared" si="3"/>
        <v>#REF!</v>
      </c>
      <c r="H106" s="49">
        <f>Base_Articles!G106</f>
        <v>5</v>
      </c>
      <c r="I106" s="49">
        <f>Base_Articles!H106</f>
        <v>50</v>
      </c>
      <c r="J106" s="49">
        <f>Base_Articles!J106</f>
        <v>0</v>
      </c>
      <c r="K106" s="49" t="e">
        <f t="shared" si="4"/>
        <v>#REF!</v>
      </c>
      <c r="L106" s="48" t="e">
        <f t="shared" si="5"/>
        <v>#REF!</v>
      </c>
    </row>
    <row r="107" spans="1:12" x14ac:dyDescent="0.25">
      <c r="A107" s="46" t="str">
        <f>Base_Articles!A107</f>
        <v>FO-0103</v>
      </c>
      <c r="B107" s="46" t="str">
        <f>Base_Articles!C107</f>
        <v>Gaine grise D20 (100m)</v>
      </c>
      <c r="C107" s="46" t="str">
        <f>Base_Articles!B107</f>
        <v>FO</v>
      </c>
      <c r="D107" s="47">
        <f>Base_Articles!K107</f>
        <v>0</v>
      </c>
      <c r="E107" s="47" t="e">
        <f>SUMIFS(#REF!,#REF!,A107)</f>
        <v>#REF!</v>
      </c>
      <c r="F107" s="47" t="e">
        <f>SUMIFS(#REF!,#REF!,A107)</f>
        <v>#REF!</v>
      </c>
      <c r="G107" s="47" t="e">
        <f t="shared" si="3"/>
        <v>#REF!</v>
      </c>
      <c r="H107" s="47">
        <f>Base_Articles!G107</f>
        <v>5</v>
      </c>
      <c r="I107" s="47">
        <f>Base_Articles!H107</f>
        <v>50</v>
      </c>
      <c r="J107" s="47">
        <f>Base_Articles!J107</f>
        <v>0</v>
      </c>
      <c r="K107" s="47" t="e">
        <f t="shared" si="4"/>
        <v>#REF!</v>
      </c>
      <c r="L107" s="46" t="e">
        <f t="shared" si="5"/>
        <v>#REF!</v>
      </c>
    </row>
    <row r="108" spans="1:12" x14ac:dyDescent="0.25">
      <c r="A108" s="48" t="str">
        <f>Base_Articles!A108</f>
        <v>FO-0104</v>
      </c>
      <c r="B108" s="48" t="str">
        <f>Base_Articles!C108</f>
        <v>Borne parvillonnaire</v>
      </c>
      <c r="C108" s="48" t="str">
        <f>Base_Articles!B108</f>
        <v>FO</v>
      </c>
      <c r="D108" s="49">
        <f>Base_Articles!K108</f>
        <v>0</v>
      </c>
      <c r="E108" s="49" t="e">
        <f>SUMIFS(#REF!,#REF!,A108)</f>
        <v>#REF!</v>
      </c>
      <c r="F108" s="49" t="e">
        <f>SUMIFS(#REF!,#REF!,A108)</f>
        <v>#REF!</v>
      </c>
      <c r="G108" s="49" t="e">
        <f t="shared" si="3"/>
        <v>#REF!</v>
      </c>
      <c r="H108" s="49">
        <f>Base_Articles!G108</f>
        <v>5</v>
      </c>
      <c r="I108" s="49">
        <f>Base_Articles!H108</f>
        <v>50</v>
      </c>
      <c r="J108" s="49">
        <f>Base_Articles!J108</f>
        <v>0</v>
      </c>
      <c r="K108" s="49" t="e">
        <f t="shared" si="4"/>
        <v>#REF!</v>
      </c>
      <c r="L108" s="48" t="e">
        <f t="shared" si="5"/>
        <v>#REF!</v>
      </c>
    </row>
    <row r="109" spans="1:12" x14ac:dyDescent="0.25">
      <c r="A109" s="46" t="str">
        <f>Base_Articles!A109</f>
        <v>FO-0105</v>
      </c>
      <c r="B109" s="46" t="str">
        <f>Base_Articles!C109</f>
        <v>Decam D18,10 kits</v>
      </c>
      <c r="C109" s="46" t="str">
        <f>Base_Articles!B109</f>
        <v>FO</v>
      </c>
      <c r="D109" s="47">
        <f>Base_Articles!K109</f>
        <v>0</v>
      </c>
      <c r="E109" s="47" t="e">
        <f>SUMIFS(#REF!,#REF!,A109)</f>
        <v>#REF!</v>
      </c>
      <c r="F109" s="47" t="e">
        <f>SUMIFS(#REF!,#REF!,A109)</f>
        <v>#REF!</v>
      </c>
      <c r="G109" s="47" t="e">
        <f t="shared" si="3"/>
        <v>#REF!</v>
      </c>
      <c r="H109" s="47">
        <f>Base_Articles!G109</f>
        <v>5</v>
      </c>
      <c r="I109" s="47">
        <f>Base_Articles!H109</f>
        <v>50</v>
      </c>
      <c r="J109" s="47">
        <f>Base_Articles!J109</f>
        <v>0</v>
      </c>
      <c r="K109" s="47" t="e">
        <f t="shared" si="4"/>
        <v>#REF!</v>
      </c>
      <c r="L109" s="46" t="e">
        <f t="shared" si="5"/>
        <v>#REF!</v>
      </c>
    </row>
    <row r="110" spans="1:12" x14ac:dyDescent="0.25">
      <c r="A110" s="48" t="str">
        <f>Base_Articles!A110</f>
        <v>FO-0106</v>
      </c>
      <c r="B110" s="48" t="str">
        <f>Base_Articles!C110</f>
        <v>Decam D18</v>
      </c>
      <c r="C110" s="48" t="str">
        <f>Base_Articles!B110</f>
        <v>FO</v>
      </c>
      <c r="D110" s="49">
        <f>Base_Articles!K110</f>
        <v>0</v>
      </c>
      <c r="E110" s="49" t="e">
        <f>SUMIFS(#REF!,#REF!,A110)</f>
        <v>#REF!</v>
      </c>
      <c r="F110" s="49" t="e">
        <f>SUMIFS(#REF!,#REF!,A110)</f>
        <v>#REF!</v>
      </c>
      <c r="G110" s="49" t="e">
        <f t="shared" si="3"/>
        <v>#REF!</v>
      </c>
      <c r="H110" s="49">
        <f>Base_Articles!G110</f>
        <v>5</v>
      </c>
      <c r="I110" s="49">
        <f>Base_Articles!H110</f>
        <v>50</v>
      </c>
      <c r="J110" s="49">
        <f>Base_Articles!J110</f>
        <v>0</v>
      </c>
      <c r="K110" s="49" t="e">
        <f t="shared" si="4"/>
        <v>#REF!</v>
      </c>
      <c r="L110" s="48" t="e">
        <f t="shared" si="5"/>
        <v>#REF!</v>
      </c>
    </row>
    <row r="111" spans="1:12" x14ac:dyDescent="0.25">
      <c r="A111" s="46" t="str">
        <f>Base_Articles!A111</f>
        <v>FO-0107</v>
      </c>
      <c r="B111" s="46" t="str">
        <f>Base_Articles!C111</f>
        <v>Pince hypoclamp</v>
      </c>
      <c r="C111" s="46" t="str">
        <f>Base_Articles!B111</f>
        <v>FO</v>
      </c>
      <c r="D111" s="47">
        <f>Base_Articles!K111</f>
        <v>0</v>
      </c>
      <c r="E111" s="47" t="e">
        <f>SUMIFS(#REF!,#REF!,A111)</f>
        <v>#REF!</v>
      </c>
      <c r="F111" s="47" t="e">
        <f>SUMIFS(#REF!,#REF!,A111)</f>
        <v>#REF!</v>
      </c>
      <c r="G111" s="47" t="e">
        <f t="shared" si="3"/>
        <v>#REF!</v>
      </c>
      <c r="H111" s="47">
        <f>Base_Articles!G111</f>
        <v>5</v>
      </c>
      <c r="I111" s="47">
        <f>Base_Articles!H111</f>
        <v>50</v>
      </c>
      <c r="J111" s="47">
        <f>Base_Articles!J111</f>
        <v>0</v>
      </c>
      <c r="K111" s="47" t="e">
        <f t="shared" si="4"/>
        <v>#REF!</v>
      </c>
      <c r="L111" s="46" t="e">
        <f t="shared" si="5"/>
        <v>#REF!</v>
      </c>
    </row>
    <row r="112" spans="1:12" x14ac:dyDescent="0.25">
      <c r="A112" s="48" t="str">
        <f>Base_Articles!A112</f>
        <v>FO-0108</v>
      </c>
      <c r="B112" s="48" t="str">
        <f>Base_Articles!C112</f>
        <v>Pince arobase</v>
      </c>
      <c r="C112" s="48" t="str">
        <f>Base_Articles!B112</f>
        <v>FO</v>
      </c>
      <c r="D112" s="49">
        <f>Base_Articles!K112</f>
        <v>0</v>
      </c>
      <c r="E112" s="49" t="e">
        <f>SUMIFS(#REF!,#REF!,A112)</f>
        <v>#REF!</v>
      </c>
      <c r="F112" s="49" t="e">
        <f>SUMIFS(#REF!,#REF!,A112)</f>
        <v>#REF!</v>
      </c>
      <c r="G112" s="49" t="e">
        <f t="shared" si="3"/>
        <v>#REF!</v>
      </c>
      <c r="H112" s="49">
        <f>Base_Articles!G112</f>
        <v>5</v>
      </c>
      <c r="I112" s="49">
        <f>Base_Articles!H112</f>
        <v>50</v>
      </c>
      <c r="J112" s="49">
        <f>Base_Articles!J112</f>
        <v>0</v>
      </c>
      <c r="K112" s="49" t="e">
        <f t="shared" si="4"/>
        <v>#REF!</v>
      </c>
      <c r="L112" s="48" t="e">
        <f t="shared" si="5"/>
        <v>#REF!</v>
      </c>
    </row>
    <row r="113" spans="1:12" x14ac:dyDescent="0.25">
      <c r="A113" s="46" t="str">
        <f>Base_Articles!A113</f>
        <v>FO-0109</v>
      </c>
      <c r="B113" s="46" t="str">
        <f>Base_Articles!C113</f>
        <v>Peigne simple</v>
      </c>
      <c r="C113" s="46" t="str">
        <f>Base_Articles!B113</f>
        <v>FO</v>
      </c>
      <c r="D113" s="47">
        <f>Base_Articles!K113</f>
        <v>0</v>
      </c>
      <c r="E113" s="47" t="e">
        <f>SUMIFS(#REF!,#REF!,A113)</f>
        <v>#REF!</v>
      </c>
      <c r="F113" s="47" t="e">
        <f>SUMIFS(#REF!,#REF!,A113)</f>
        <v>#REF!</v>
      </c>
      <c r="G113" s="47" t="e">
        <f t="shared" si="3"/>
        <v>#REF!</v>
      </c>
      <c r="H113" s="47">
        <f>Base_Articles!G113</f>
        <v>5</v>
      </c>
      <c r="I113" s="47">
        <f>Base_Articles!H113</f>
        <v>50</v>
      </c>
      <c r="J113" s="47">
        <f>Base_Articles!J113</f>
        <v>0</v>
      </c>
      <c r="K113" s="47" t="e">
        <f t="shared" si="4"/>
        <v>#REF!</v>
      </c>
      <c r="L113" s="46" t="e">
        <f t="shared" si="5"/>
        <v>#REF!</v>
      </c>
    </row>
    <row r="114" spans="1:12" x14ac:dyDescent="0.25">
      <c r="A114" s="48" t="str">
        <f>Base_Articles!A114</f>
        <v>FO-0110</v>
      </c>
      <c r="B114" s="48" t="str">
        <f>Base_Articles!C114</f>
        <v>Jarret LC/UPC</v>
      </c>
      <c r="C114" s="48" t="str">
        <f>Base_Articles!B114</f>
        <v>FO</v>
      </c>
      <c r="D114" s="49">
        <f>Base_Articles!K114</f>
        <v>0</v>
      </c>
      <c r="E114" s="49" t="e">
        <f>SUMIFS(#REF!,#REF!,A114)</f>
        <v>#REF!</v>
      </c>
      <c r="F114" s="49" t="e">
        <f>SUMIFS(#REF!,#REF!,A114)</f>
        <v>#REF!</v>
      </c>
      <c r="G114" s="49" t="e">
        <f t="shared" si="3"/>
        <v>#REF!</v>
      </c>
      <c r="H114" s="49">
        <f>Base_Articles!G114</f>
        <v>5</v>
      </c>
      <c r="I114" s="49">
        <f>Base_Articles!H114</f>
        <v>50</v>
      </c>
      <c r="J114" s="49">
        <f>Base_Articles!J114</f>
        <v>0</v>
      </c>
      <c r="K114" s="49" t="e">
        <f t="shared" si="4"/>
        <v>#REF!</v>
      </c>
      <c r="L114" s="48" t="e">
        <f t="shared" si="5"/>
        <v>#REF!</v>
      </c>
    </row>
    <row r="115" spans="1:12" x14ac:dyDescent="0.25">
      <c r="A115" s="46" t="str">
        <f>Base_Articles!A115</f>
        <v>FO-0111</v>
      </c>
      <c r="B115" s="46" t="str">
        <f>Base_Articles!C115</f>
        <v>Jarret LC/PC 7M Jaune</v>
      </c>
      <c r="C115" s="46" t="str">
        <f>Base_Articles!B115</f>
        <v>FO</v>
      </c>
      <c r="D115" s="47">
        <f>Base_Articles!K115</f>
        <v>0</v>
      </c>
      <c r="E115" s="47" t="e">
        <f>SUMIFS(#REF!,#REF!,A115)</f>
        <v>#REF!</v>
      </c>
      <c r="F115" s="47" t="e">
        <f>SUMIFS(#REF!,#REF!,A115)</f>
        <v>#REF!</v>
      </c>
      <c r="G115" s="47" t="e">
        <f t="shared" si="3"/>
        <v>#REF!</v>
      </c>
      <c r="H115" s="47">
        <f>Base_Articles!G115</f>
        <v>5</v>
      </c>
      <c r="I115" s="47">
        <f>Base_Articles!H115</f>
        <v>50</v>
      </c>
      <c r="J115" s="47">
        <f>Base_Articles!J115</f>
        <v>0</v>
      </c>
      <c r="K115" s="47" t="e">
        <f t="shared" si="4"/>
        <v>#REF!</v>
      </c>
      <c r="L115" s="46" t="e">
        <f t="shared" si="5"/>
        <v>#REF!</v>
      </c>
    </row>
    <row r="116" spans="1:12" x14ac:dyDescent="0.25">
      <c r="A116" s="48" t="str">
        <f>Base_Articles!A116</f>
        <v>FO-0112</v>
      </c>
      <c r="B116" s="48" t="str">
        <f>Base_Articles!C116</f>
        <v>Jarret SC/APC 3,5M jaune</v>
      </c>
      <c r="C116" s="48" t="str">
        <f>Base_Articles!B116</f>
        <v>FO</v>
      </c>
      <c r="D116" s="49">
        <f>Base_Articles!K116</f>
        <v>0</v>
      </c>
      <c r="E116" s="49" t="e">
        <f>SUMIFS(#REF!,#REF!,A116)</f>
        <v>#REF!</v>
      </c>
      <c r="F116" s="49" t="e">
        <f>SUMIFS(#REF!,#REF!,A116)</f>
        <v>#REF!</v>
      </c>
      <c r="G116" s="49" t="e">
        <f t="shared" si="3"/>
        <v>#REF!</v>
      </c>
      <c r="H116" s="49">
        <f>Base_Articles!G116</f>
        <v>5</v>
      </c>
      <c r="I116" s="49">
        <f>Base_Articles!H116</f>
        <v>50</v>
      </c>
      <c r="J116" s="49">
        <f>Base_Articles!J116</f>
        <v>0</v>
      </c>
      <c r="K116" s="49" t="e">
        <f t="shared" si="4"/>
        <v>#REF!</v>
      </c>
      <c r="L116" s="48" t="e">
        <f t="shared" si="5"/>
        <v>#REF!</v>
      </c>
    </row>
    <row r="117" spans="1:12" x14ac:dyDescent="0.25">
      <c r="A117" s="46" t="str">
        <f>Base_Articles!A117</f>
        <v>FO-0113</v>
      </c>
      <c r="B117" s="46" t="str">
        <f>Base_Articles!C117</f>
        <v>Jarret FC/UPC 2M</v>
      </c>
      <c r="C117" s="46" t="str">
        <f>Base_Articles!B117</f>
        <v>FO</v>
      </c>
      <c r="D117" s="47">
        <f>Base_Articles!K117</f>
        <v>0</v>
      </c>
      <c r="E117" s="47" t="e">
        <f>SUMIFS(#REF!,#REF!,A117)</f>
        <v>#REF!</v>
      </c>
      <c r="F117" s="47" t="e">
        <f>SUMIFS(#REF!,#REF!,A117)</f>
        <v>#REF!</v>
      </c>
      <c r="G117" s="47" t="e">
        <f t="shared" si="3"/>
        <v>#REF!</v>
      </c>
      <c r="H117" s="47">
        <f>Base_Articles!G117</f>
        <v>5</v>
      </c>
      <c r="I117" s="47">
        <f>Base_Articles!H117</f>
        <v>50</v>
      </c>
      <c r="J117" s="47">
        <f>Base_Articles!J117</f>
        <v>0</v>
      </c>
      <c r="K117" s="47" t="e">
        <f t="shared" si="4"/>
        <v>#REF!</v>
      </c>
      <c r="L117" s="46" t="e">
        <f t="shared" si="5"/>
        <v>#REF!</v>
      </c>
    </row>
    <row r="118" spans="1:12" x14ac:dyDescent="0.25">
      <c r="A118" s="48" t="str">
        <f>Base_Articles!A118</f>
        <v>FO-0114</v>
      </c>
      <c r="B118" s="48" t="str">
        <f>Base_Articles!C118</f>
        <v>Jarret LC/UPC-FC/UPC 10M duplex</v>
      </c>
      <c r="C118" s="48" t="str">
        <f>Base_Articles!B118</f>
        <v>FO</v>
      </c>
      <c r="D118" s="49">
        <f>Base_Articles!K118</f>
        <v>0</v>
      </c>
      <c r="E118" s="49" t="e">
        <f>SUMIFS(#REF!,#REF!,A118)</f>
        <v>#REF!</v>
      </c>
      <c r="F118" s="49" t="e">
        <f>SUMIFS(#REF!,#REF!,A118)</f>
        <v>#REF!</v>
      </c>
      <c r="G118" s="49" t="e">
        <f t="shared" si="3"/>
        <v>#REF!</v>
      </c>
      <c r="H118" s="49">
        <f>Base_Articles!G118</f>
        <v>5</v>
      </c>
      <c r="I118" s="49">
        <f>Base_Articles!H118</f>
        <v>50</v>
      </c>
      <c r="J118" s="49">
        <f>Base_Articles!J118</f>
        <v>0</v>
      </c>
      <c r="K118" s="49" t="e">
        <f t="shared" si="4"/>
        <v>#REF!</v>
      </c>
      <c r="L118" s="48" t="e">
        <f t="shared" si="5"/>
        <v>#REF!</v>
      </c>
    </row>
    <row r="119" spans="1:12" x14ac:dyDescent="0.25">
      <c r="A119" s="46" t="str">
        <f>Base_Articles!A119</f>
        <v>FO-0115</v>
      </c>
      <c r="B119" s="46" t="str">
        <f>Base_Articles!C119</f>
        <v>Jarret LC/UPC-FC/UPC 15M duplex</v>
      </c>
      <c r="C119" s="46" t="str">
        <f>Base_Articles!B119</f>
        <v>FO</v>
      </c>
      <c r="D119" s="47">
        <f>Base_Articles!K119</f>
        <v>0</v>
      </c>
      <c r="E119" s="47" t="e">
        <f>SUMIFS(#REF!,#REF!,A119)</f>
        <v>#REF!</v>
      </c>
      <c r="F119" s="47" t="e">
        <f>SUMIFS(#REF!,#REF!,A119)</f>
        <v>#REF!</v>
      </c>
      <c r="G119" s="47" t="e">
        <f t="shared" si="3"/>
        <v>#REF!</v>
      </c>
      <c r="H119" s="47">
        <f>Base_Articles!G119</f>
        <v>5</v>
      </c>
      <c r="I119" s="47">
        <f>Base_Articles!H119</f>
        <v>50</v>
      </c>
      <c r="J119" s="47">
        <f>Base_Articles!J119</f>
        <v>0</v>
      </c>
      <c r="K119" s="47" t="e">
        <f t="shared" si="4"/>
        <v>#REF!</v>
      </c>
      <c r="L119" s="46" t="e">
        <f t="shared" si="5"/>
        <v>#REF!</v>
      </c>
    </row>
    <row r="120" spans="1:12" x14ac:dyDescent="0.25">
      <c r="A120" s="48" t="str">
        <f>Base_Articles!A120</f>
        <v>FO-0116</v>
      </c>
      <c r="B120" s="48" t="str">
        <f>Base_Articles!C120</f>
        <v>Jarret SC/UPC 10M duplex</v>
      </c>
      <c r="C120" s="48" t="str">
        <f>Base_Articles!B120</f>
        <v>FO</v>
      </c>
      <c r="D120" s="49">
        <f>Base_Articles!K120</f>
        <v>0</v>
      </c>
      <c r="E120" s="49" t="e">
        <f>SUMIFS(#REF!,#REF!,A120)</f>
        <v>#REF!</v>
      </c>
      <c r="F120" s="49" t="e">
        <f>SUMIFS(#REF!,#REF!,A120)</f>
        <v>#REF!</v>
      </c>
      <c r="G120" s="49" t="e">
        <f t="shared" si="3"/>
        <v>#REF!</v>
      </c>
      <c r="H120" s="49">
        <f>Base_Articles!G120</f>
        <v>5</v>
      </c>
      <c r="I120" s="49">
        <f>Base_Articles!H120</f>
        <v>50</v>
      </c>
      <c r="J120" s="49">
        <f>Base_Articles!J120</f>
        <v>0</v>
      </c>
      <c r="K120" s="49" t="e">
        <f t="shared" si="4"/>
        <v>#REF!</v>
      </c>
      <c r="L120" s="48" t="e">
        <f t="shared" si="5"/>
        <v>#REF!</v>
      </c>
    </row>
    <row r="121" spans="1:12" x14ac:dyDescent="0.25">
      <c r="A121" s="46" t="str">
        <f>Base_Articles!A121</f>
        <v>FO-0117</v>
      </c>
      <c r="B121" s="46" t="str">
        <f>Base_Articles!C121</f>
        <v>Jarret LC/UPC 10M duplex</v>
      </c>
      <c r="C121" s="46" t="str">
        <f>Base_Articles!B121</f>
        <v>FO</v>
      </c>
      <c r="D121" s="47">
        <f>Base_Articles!K121</f>
        <v>0</v>
      </c>
      <c r="E121" s="47" t="e">
        <f>SUMIFS(#REF!,#REF!,A121)</f>
        <v>#REF!</v>
      </c>
      <c r="F121" s="47" t="e">
        <f>SUMIFS(#REF!,#REF!,A121)</f>
        <v>#REF!</v>
      </c>
      <c r="G121" s="47" t="e">
        <f t="shared" si="3"/>
        <v>#REF!</v>
      </c>
      <c r="H121" s="47">
        <f>Base_Articles!G121</f>
        <v>5</v>
      </c>
      <c r="I121" s="47">
        <f>Base_Articles!H121</f>
        <v>50</v>
      </c>
      <c r="J121" s="47">
        <f>Base_Articles!J121</f>
        <v>0</v>
      </c>
      <c r="K121" s="47" t="e">
        <f t="shared" si="4"/>
        <v>#REF!</v>
      </c>
      <c r="L121" s="46" t="e">
        <f t="shared" si="5"/>
        <v>#REF!</v>
      </c>
    </row>
    <row r="122" spans="1:12" x14ac:dyDescent="0.25">
      <c r="A122" s="48" t="str">
        <f>Base_Articles!A122</f>
        <v>FO-0118</v>
      </c>
      <c r="B122" s="48" t="str">
        <f>Base_Articles!C122</f>
        <v>Jarret LC/FC 10M duplex</v>
      </c>
      <c r="C122" s="48" t="str">
        <f>Base_Articles!B122</f>
        <v>FO</v>
      </c>
      <c r="D122" s="49">
        <f>Base_Articles!K122</f>
        <v>0</v>
      </c>
      <c r="E122" s="49" t="e">
        <f>SUMIFS(#REF!,#REF!,A122)</f>
        <v>#REF!</v>
      </c>
      <c r="F122" s="49" t="e">
        <f>SUMIFS(#REF!,#REF!,A122)</f>
        <v>#REF!</v>
      </c>
      <c r="G122" s="49" t="e">
        <f t="shared" si="3"/>
        <v>#REF!</v>
      </c>
      <c r="H122" s="49">
        <f>Base_Articles!G122</f>
        <v>5</v>
      </c>
      <c r="I122" s="49">
        <f>Base_Articles!H122</f>
        <v>50</v>
      </c>
      <c r="J122" s="49">
        <f>Base_Articles!J122</f>
        <v>0</v>
      </c>
      <c r="K122" s="49" t="e">
        <f t="shared" si="4"/>
        <v>#REF!</v>
      </c>
      <c r="L122" s="48" t="e">
        <f t="shared" si="5"/>
        <v>#REF!</v>
      </c>
    </row>
    <row r="123" spans="1:12" x14ac:dyDescent="0.25">
      <c r="A123" s="46" t="str">
        <f>Base_Articles!A123</f>
        <v>FO-0119</v>
      </c>
      <c r="B123" s="46" t="str">
        <f>Base_Articles!C123</f>
        <v>Jarret LC/LC 20M duplex</v>
      </c>
      <c r="C123" s="46" t="str">
        <f>Base_Articles!B123</f>
        <v>FO</v>
      </c>
      <c r="D123" s="47">
        <f>Base_Articles!K123</f>
        <v>0</v>
      </c>
      <c r="E123" s="47" t="e">
        <f>SUMIFS(#REF!,#REF!,A123)</f>
        <v>#REF!</v>
      </c>
      <c r="F123" s="47" t="e">
        <f>SUMIFS(#REF!,#REF!,A123)</f>
        <v>#REF!</v>
      </c>
      <c r="G123" s="47" t="e">
        <f t="shared" si="3"/>
        <v>#REF!</v>
      </c>
      <c r="H123" s="47">
        <f>Base_Articles!G123</f>
        <v>5</v>
      </c>
      <c r="I123" s="47">
        <f>Base_Articles!H123</f>
        <v>50</v>
      </c>
      <c r="J123" s="47">
        <f>Base_Articles!J123</f>
        <v>0</v>
      </c>
      <c r="K123" s="47" t="e">
        <f t="shared" si="4"/>
        <v>#REF!</v>
      </c>
      <c r="L123" s="46" t="e">
        <f t="shared" si="5"/>
        <v>#REF!</v>
      </c>
    </row>
    <row r="124" spans="1:12" x14ac:dyDescent="0.25">
      <c r="A124" s="48" t="str">
        <f>Base_Articles!A124</f>
        <v>FO-0120</v>
      </c>
      <c r="B124" s="48" t="str">
        <f>Base_Articles!C124</f>
        <v>Jarret LC/FC 5M Simplex</v>
      </c>
      <c r="C124" s="48" t="str">
        <f>Base_Articles!B124</f>
        <v>FO</v>
      </c>
      <c r="D124" s="49">
        <f>Base_Articles!K124</f>
        <v>0</v>
      </c>
      <c r="E124" s="49" t="e">
        <f>SUMIFS(#REF!,#REF!,A124)</f>
        <v>#REF!</v>
      </c>
      <c r="F124" s="49" t="e">
        <f>SUMIFS(#REF!,#REF!,A124)</f>
        <v>#REF!</v>
      </c>
      <c r="G124" s="49" t="e">
        <f t="shared" si="3"/>
        <v>#REF!</v>
      </c>
      <c r="H124" s="49">
        <f>Base_Articles!G124</f>
        <v>5</v>
      </c>
      <c r="I124" s="49">
        <f>Base_Articles!H124</f>
        <v>50</v>
      </c>
      <c r="J124" s="49">
        <f>Base_Articles!J124</f>
        <v>0</v>
      </c>
      <c r="K124" s="49" t="e">
        <f t="shared" si="4"/>
        <v>#REF!</v>
      </c>
      <c r="L124" s="48" t="e">
        <f t="shared" si="5"/>
        <v>#REF!</v>
      </c>
    </row>
    <row r="125" spans="1:12" x14ac:dyDescent="0.25">
      <c r="A125" s="46" t="str">
        <f>Base_Articles!A125</f>
        <v>FO-0121</v>
      </c>
      <c r="B125" s="46" t="str">
        <f>Base_Articles!C125</f>
        <v>Jarret LC/LC 1M simplex</v>
      </c>
      <c r="C125" s="46" t="str">
        <f>Base_Articles!B125</f>
        <v>FO</v>
      </c>
      <c r="D125" s="47">
        <f>Base_Articles!K125</f>
        <v>0</v>
      </c>
      <c r="E125" s="47" t="e">
        <f>SUMIFS(#REF!,#REF!,A125)</f>
        <v>#REF!</v>
      </c>
      <c r="F125" s="47" t="e">
        <f>SUMIFS(#REF!,#REF!,A125)</f>
        <v>#REF!</v>
      </c>
      <c r="G125" s="47" t="e">
        <f t="shared" si="3"/>
        <v>#REF!</v>
      </c>
      <c r="H125" s="47">
        <f>Base_Articles!G125</f>
        <v>5</v>
      </c>
      <c r="I125" s="47">
        <f>Base_Articles!H125</f>
        <v>50</v>
      </c>
      <c r="J125" s="47">
        <f>Base_Articles!J125</f>
        <v>0</v>
      </c>
      <c r="K125" s="47" t="e">
        <f t="shared" si="4"/>
        <v>#REF!</v>
      </c>
      <c r="L125" s="46" t="e">
        <f t="shared" si="5"/>
        <v>#REF!</v>
      </c>
    </row>
    <row r="126" spans="1:12" x14ac:dyDescent="0.25">
      <c r="A126" s="48" t="str">
        <f>Base_Articles!A126</f>
        <v>FO-0122</v>
      </c>
      <c r="B126" s="48" t="str">
        <f>Base_Articles!C126</f>
        <v>Jarret FC-FC 15M simplex</v>
      </c>
      <c r="C126" s="48" t="str">
        <f>Base_Articles!B126</f>
        <v>FO</v>
      </c>
      <c r="D126" s="49">
        <f>Base_Articles!K126</f>
        <v>18</v>
      </c>
      <c r="E126" s="49" t="e">
        <f>SUMIFS(#REF!,#REF!,A126)</f>
        <v>#REF!</v>
      </c>
      <c r="F126" s="49" t="e">
        <f>SUMIFS(#REF!,#REF!,A126)</f>
        <v>#REF!</v>
      </c>
      <c r="G126" s="49" t="e">
        <f t="shared" si="3"/>
        <v>#REF!</v>
      </c>
      <c r="H126" s="49">
        <f>Base_Articles!G126</f>
        <v>5</v>
      </c>
      <c r="I126" s="49">
        <f>Base_Articles!H126</f>
        <v>50</v>
      </c>
      <c r="J126" s="49">
        <f>Base_Articles!J126</f>
        <v>0</v>
      </c>
      <c r="K126" s="49" t="e">
        <f t="shared" si="4"/>
        <v>#REF!</v>
      </c>
      <c r="L126" s="48" t="e">
        <f t="shared" si="5"/>
        <v>#REF!</v>
      </c>
    </row>
    <row r="127" spans="1:12" x14ac:dyDescent="0.25">
      <c r="A127" s="46" t="str">
        <f>Base_Articles!A127</f>
        <v>FO-0123</v>
      </c>
      <c r="B127" s="46" t="str">
        <f>Base_Articles!C127</f>
        <v>Jarret FC-FC 5M simplex</v>
      </c>
      <c r="C127" s="46" t="str">
        <f>Base_Articles!B127</f>
        <v>FO</v>
      </c>
      <c r="D127" s="47">
        <f>Base_Articles!K127</f>
        <v>0</v>
      </c>
      <c r="E127" s="47" t="e">
        <f>SUMIFS(#REF!,#REF!,A127)</f>
        <v>#REF!</v>
      </c>
      <c r="F127" s="47" t="e">
        <f>SUMIFS(#REF!,#REF!,A127)</f>
        <v>#REF!</v>
      </c>
      <c r="G127" s="47" t="e">
        <f t="shared" si="3"/>
        <v>#REF!</v>
      </c>
      <c r="H127" s="47">
        <f>Base_Articles!G127</f>
        <v>5</v>
      </c>
      <c r="I127" s="47">
        <f>Base_Articles!H127</f>
        <v>50</v>
      </c>
      <c r="J127" s="47">
        <f>Base_Articles!J127</f>
        <v>0</v>
      </c>
      <c r="K127" s="47" t="e">
        <f t="shared" si="4"/>
        <v>#REF!</v>
      </c>
      <c r="L127" s="46" t="e">
        <f t="shared" si="5"/>
        <v>#REF!</v>
      </c>
    </row>
    <row r="128" spans="1:12" x14ac:dyDescent="0.25">
      <c r="A128" s="48" t="str">
        <f>Base_Articles!A128</f>
        <v>FO-0124</v>
      </c>
      <c r="B128" s="48" t="str">
        <f>Base_Articles!C128</f>
        <v>Jarret FC-FC 20M simplex</v>
      </c>
      <c r="C128" s="48" t="str">
        <f>Base_Articles!B128</f>
        <v>FO</v>
      </c>
      <c r="D128" s="49">
        <f>Base_Articles!K128</f>
        <v>10</v>
      </c>
      <c r="E128" s="49" t="e">
        <f>SUMIFS(#REF!,#REF!,A128)</f>
        <v>#REF!</v>
      </c>
      <c r="F128" s="49" t="e">
        <f>SUMIFS(#REF!,#REF!,A128)</f>
        <v>#REF!</v>
      </c>
      <c r="G128" s="49" t="e">
        <f t="shared" si="3"/>
        <v>#REF!</v>
      </c>
      <c r="H128" s="49">
        <f>Base_Articles!G128</f>
        <v>5</v>
      </c>
      <c r="I128" s="49">
        <f>Base_Articles!H128</f>
        <v>50</v>
      </c>
      <c r="J128" s="49">
        <f>Base_Articles!J128</f>
        <v>0</v>
      </c>
      <c r="K128" s="49" t="e">
        <f t="shared" si="4"/>
        <v>#REF!</v>
      </c>
      <c r="L128" s="48" t="e">
        <f t="shared" si="5"/>
        <v>#REF!</v>
      </c>
    </row>
    <row r="129" spans="1:12" x14ac:dyDescent="0.25">
      <c r="A129" s="46" t="str">
        <f>Base_Articles!A129</f>
        <v>FO-0125</v>
      </c>
      <c r="B129" s="46" t="str">
        <f>Base_Articles!C129</f>
        <v>Jarret FC-FC 10M simplex</v>
      </c>
      <c r="C129" s="46" t="str">
        <f>Base_Articles!B129</f>
        <v>FO</v>
      </c>
      <c r="D129" s="47">
        <f>Base_Articles!K129</f>
        <v>0</v>
      </c>
      <c r="E129" s="47" t="e">
        <f>SUMIFS(#REF!,#REF!,A129)</f>
        <v>#REF!</v>
      </c>
      <c r="F129" s="47" t="e">
        <f>SUMIFS(#REF!,#REF!,A129)</f>
        <v>#REF!</v>
      </c>
      <c r="G129" s="47" t="e">
        <f t="shared" si="3"/>
        <v>#REF!</v>
      </c>
      <c r="H129" s="47">
        <f>Base_Articles!G129</f>
        <v>5</v>
      </c>
      <c r="I129" s="47">
        <f>Base_Articles!H129</f>
        <v>50</v>
      </c>
      <c r="J129" s="47">
        <f>Base_Articles!J129</f>
        <v>0</v>
      </c>
      <c r="K129" s="47" t="e">
        <f t="shared" si="4"/>
        <v>#REF!</v>
      </c>
      <c r="L129" s="46" t="e">
        <f t="shared" si="5"/>
        <v>#REF!</v>
      </c>
    </row>
    <row r="130" spans="1:12" x14ac:dyDescent="0.25">
      <c r="A130" s="48" t="str">
        <f>Base_Articles!A130</f>
        <v>FO-0126</v>
      </c>
      <c r="B130" s="48" t="str">
        <f>Base_Articles!C130</f>
        <v>Jarret GJXH-1BSC/UPC-SC*UPC 3M</v>
      </c>
      <c r="C130" s="48" t="str">
        <f>Base_Articles!B130</f>
        <v>FO</v>
      </c>
      <c r="D130" s="49">
        <f>Base_Articles!K130</f>
        <v>0</v>
      </c>
      <c r="E130" s="49" t="e">
        <f>SUMIFS(#REF!,#REF!,A130)</f>
        <v>#REF!</v>
      </c>
      <c r="F130" s="49" t="e">
        <f>SUMIFS(#REF!,#REF!,A130)</f>
        <v>#REF!</v>
      </c>
      <c r="G130" s="49" t="e">
        <f t="shared" si="3"/>
        <v>#REF!</v>
      </c>
      <c r="H130" s="49">
        <f>Base_Articles!G130</f>
        <v>5</v>
      </c>
      <c r="I130" s="49">
        <f>Base_Articles!H130</f>
        <v>50</v>
      </c>
      <c r="J130" s="49">
        <f>Base_Articles!J130</f>
        <v>0</v>
      </c>
      <c r="K130" s="49" t="e">
        <f t="shared" si="4"/>
        <v>#REF!</v>
      </c>
      <c r="L130" s="48" t="e">
        <f t="shared" si="5"/>
        <v>#REF!</v>
      </c>
    </row>
    <row r="131" spans="1:12" x14ac:dyDescent="0.25">
      <c r="A131" s="46" t="str">
        <f>Base_Articles!A131</f>
        <v>FO-0127</v>
      </c>
      <c r="B131" s="46" t="str">
        <f>Base_Articles!C131</f>
        <v>Goulotte 50*100</v>
      </c>
      <c r="C131" s="46" t="str">
        <f>Base_Articles!B131</f>
        <v>FO</v>
      </c>
      <c r="D131" s="47">
        <f>Base_Articles!K131</f>
        <v>0</v>
      </c>
      <c r="E131" s="47" t="e">
        <f>SUMIFS(#REF!,#REF!,A131)</f>
        <v>#REF!</v>
      </c>
      <c r="F131" s="47" t="e">
        <f>SUMIFS(#REF!,#REF!,A131)</f>
        <v>#REF!</v>
      </c>
      <c r="G131" s="47" t="e">
        <f t="shared" si="3"/>
        <v>#REF!</v>
      </c>
      <c r="H131" s="47">
        <f>Base_Articles!G131</f>
        <v>5</v>
      </c>
      <c r="I131" s="47">
        <f>Base_Articles!H131</f>
        <v>50</v>
      </c>
      <c r="J131" s="47">
        <f>Base_Articles!J131</f>
        <v>0</v>
      </c>
      <c r="K131" s="47" t="e">
        <f t="shared" si="4"/>
        <v>#REF!</v>
      </c>
      <c r="L131" s="46" t="e">
        <f t="shared" si="5"/>
        <v>#REF!</v>
      </c>
    </row>
    <row r="132" spans="1:12" x14ac:dyDescent="0.25">
      <c r="A132" s="48" t="str">
        <f>Base_Articles!A132</f>
        <v>FO-0128</v>
      </c>
      <c r="B132" s="48" t="str">
        <f>Base_Articles!C132</f>
        <v>Cheville+piton pour goulotte</v>
      </c>
      <c r="C132" s="48" t="str">
        <f>Base_Articles!B132</f>
        <v>FO</v>
      </c>
      <c r="D132" s="49">
        <f>Base_Articles!K132</f>
        <v>0</v>
      </c>
      <c r="E132" s="49" t="e">
        <f>SUMIFS(#REF!,#REF!,A132)</f>
        <v>#REF!</v>
      </c>
      <c r="F132" s="49" t="e">
        <f>SUMIFS(#REF!,#REF!,A132)</f>
        <v>#REF!</v>
      </c>
      <c r="G132" s="49" t="e">
        <f t="shared" si="3"/>
        <v>#REF!</v>
      </c>
      <c r="H132" s="49">
        <f>Base_Articles!G132</f>
        <v>5</v>
      </c>
      <c r="I132" s="49">
        <f>Base_Articles!H132</f>
        <v>50</v>
      </c>
      <c r="J132" s="49">
        <f>Base_Articles!J132</f>
        <v>0</v>
      </c>
      <c r="K132" s="49" t="e">
        <f t="shared" si="4"/>
        <v>#REF!</v>
      </c>
      <c r="L132" s="48" t="e">
        <f t="shared" si="5"/>
        <v>#REF!</v>
      </c>
    </row>
    <row r="133" spans="1:12" x14ac:dyDescent="0.25">
      <c r="A133" s="46" t="str">
        <f>Base_Articles!A133</f>
        <v>FO-0129</v>
      </c>
      <c r="B133" s="46" t="str">
        <f>Base_Articles!C133</f>
        <v>Rack</v>
      </c>
      <c r="C133" s="46" t="str">
        <f>Base_Articles!B133</f>
        <v>FO</v>
      </c>
      <c r="D133" s="47">
        <f>Base_Articles!K133</f>
        <v>0</v>
      </c>
      <c r="E133" s="47" t="e">
        <f>SUMIFS(#REF!,#REF!,A133)</f>
        <v>#REF!</v>
      </c>
      <c r="F133" s="47" t="e">
        <f>SUMIFS(#REF!,#REF!,A133)</f>
        <v>#REF!</v>
      </c>
      <c r="G133" s="47" t="e">
        <f t="shared" ref="G133:G196" si="6">D133+E133-F133</f>
        <v>#REF!</v>
      </c>
      <c r="H133" s="47">
        <f>Base_Articles!G133</f>
        <v>5</v>
      </c>
      <c r="I133" s="47">
        <f>Base_Articles!H133</f>
        <v>50</v>
      </c>
      <c r="J133" s="47">
        <f>Base_Articles!J133</f>
        <v>0</v>
      </c>
      <c r="K133" s="47" t="e">
        <f t="shared" ref="K133:K196" si="7">G133*J133</f>
        <v>#REF!</v>
      </c>
      <c r="L133" s="46" t="e">
        <f t="shared" ref="L133:L196" si="8">IF(G133&lt;=0,"RUPTURE",IF(G133&lt;=H133,"CRITIQUE",IF(G133&gt;I133,"SURSTOCK","DISPONIBLE")))</f>
        <v>#REF!</v>
      </c>
    </row>
    <row r="134" spans="1:12" x14ac:dyDescent="0.25">
      <c r="A134" s="48" t="str">
        <f>Base_Articles!A134</f>
        <v>GSM-0001</v>
      </c>
      <c r="B134" s="48" t="str">
        <f>Base_Articles!C134</f>
        <v>Cheville plastique+vis</v>
      </c>
      <c r="C134" s="48" t="str">
        <f>Base_Articles!B134</f>
        <v>GSM</v>
      </c>
      <c r="D134" s="49">
        <f>Base_Articles!K134</f>
        <v>0</v>
      </c>
      <c r="E134" s="49" t="e">
        <f>SUMIFS(#REF!,#REF!,A134)</f>
        <v>#REF!</v>
      </c>
      <c r="F134" s="49" t="e">
        <f>SUMIFS(#REF!,#REF!,A134)</f>
        <v>#REF!</v>
      </c>
      <c r="G134" s="49" t="e">
        <f t="shared" si="6"/>
        <v>#REF!</v>
      </c>
      <c r="H134" s="49">
        <f>Base_Articles!G134</f>
        <v>5</v>
      </c>
      <c r="I134" s="49">
        <f>Base_Articles!H134</f>
        <v>50</v>
      </c>
      <c r="J134" s="49">
        <f>Base_Articles!J134</f>
        <v>0</v>
      </c>
      <c r="K134" s="49" t="e">
        <f t="shared" si="7"/>
        <v>#REF!</v>
      </c>
      <c r="L134" s="48" t="e">
        <f t="shared" si="8"/>
        <v>#REF!</v>
      </c>
    </row>
    <row r="135" spans="1:12" x14ac:dyDescent="0.25">
      <c r="A135" s="46" t="str">
        <f>Base_Articles!A135</f>
        <v>GSM-0002</v>
      </c>
      <c r="B135" s="46" t="str">
        <f>Base_Articles!C135</f>
        <v>Interrupteur simple</v>
      </c>
      <c r="C135" s="46" t="str">
        <f>Base_Articles!B135</f>
        <v>GSM</v>
      </c>
      <c r="D135" s="47">
        <f>Base_Articles!K135</f>
        <v>15</v>
      </c>
      <c r="E135" s="47" t="e">
        <f>SUMIFS(#REF!,#REF!,A135)</f>
        <v>#REF!</v>
      </c>
      <c r="F135" s="47" t="e">
        <f>SUMIFS(#REF!,#REF!,A135)</f>
        <v>#REF!</v>
      </c>
      <c r="G135" s="47" t="e">
        <f t="shared" si="6"/>
        <v>#REF!</v>
      </c>
      <c r="H135" s="47">
        <f>Base_Articles!G135</f>
        <v>5</v>
      </c>
      <c r="I135" s="47">
        <f>Base_Articles!H135</f>
        <v>50</v>
      </c>
      <c r="J135" s="47">
        <f>Base_Articles!J135</f>
        <v>0</v>
      </c>
      <c r="K135" s="47" t="e">
        <f t="shared" si="7"/>
        <v>#REF!</v>
      </c>
      <c r="L135" s="46" t="e">
        <f t="shared" si="8"/>
        <v>#REF!</v>
      </c>
    </row>
    <row r="136" spans="1:12" x14ac:dyDescent="0.25">
      <c r="A136" s="48" t="str">
        <f>Base_Articles!A136</f>
        <v>GSM-0003</v>
      </c>
      <c r="B136" s="48" t="str">
        <f>Base_Articles!C136</f>
        <v>Cheville plastique vert</v>
      </c>
      <c r="C136" s="48" t="str">
        <f>Base_Articles!B136</f>
        <v>GSM</v>
      </c>
      <c r="D136" s="49">
        <f>Base_Articles!K136</f>
        <v>23</v>
      </c>
      <c r="E136" s="49" t="e">
        <f>SUMIFS(#REF!,#REF!,A136)</f>
        <v>#REF!</v>
      </c>
      <c r="F136" s="49" t="e">
        <f>SUMIFS(#REF!,#REF!,A136)</f>
        <v>#REF!</v>
      </c>
      <c r="G136" s="49" t="e">
        <f t="shared" si="6"/>
        <v>#REF!</v>
      </c>
      <c r="H136" s="49">
        <f>Base_Articles!G136</f>
        <v>5</v>
      </c>
      <c r="I136" s="49">
        <f>Base_Articles!H136</f>
        <v>50</v>
      </c>
      <c r="J136" s="49">
        <f>Base_Articles!J136</f>
        <v>0</v>
      </c>
      <c r="K136" s="49" t="e">
        <f t="shared" si="7"/>
        <v>#REF!</v>
      </c>
      <c r="L136" s="48" t="e">
        <f t="shared" si="8"/>
        <v>#REF!</v>
      </c>
    </row>
    <row r="137" spans="1:12" x14ac:dyDescent="0.25">
      <c r="A137" s="46" t="str">
        <f>Base_Articles!A137</f>
        <v>GSM-0004</v>
      </c>
      <c r="B137" s="46" t="str">
        <f>Base_Articles!C137</f>
        <v>Douille lapamdaire</v>
      </c>
      <c r="C137" s="46" t="str">
        <f>Base_Articles!B137</f>
        <v>GSM</v>
      </c>
      <c r="D137" s="47">
        <f>Base_Articles!K137</f>
        <v>0</v>
      </c>
      <c r="E137" s="47" t="e">
        <f>SUMIFS(#REF!,#REF!,A137)</f>
        <v>#REF!</v>
      </c>
      <c r="F137" s="47" t="e">
        <f>SUMIFS(#REF!,#REF!,A137)</f>
        <v>#REF!</v>
      </c>
      <c r="G137" s="47" t="e">
        <f t="shared" si="6"/>
        <v>#REF!</v>
      </c>
      <c r="H137" s="47">
        <f>Base_Articles!G137</f>
        <v>5</v>
      </c>
      <c r="I137" s="47">
        <f>Base_Articles!H137</f>
        <v>50</v>
      </c>
      <c r="J137" s="47">
        <f>Base_Articles!J137</f>
        <v>0</v>
      </c>
      <c r="K137" s="47" t="e">
        <f t="shared" si="7"/>
        <v>#REF!</v>
      </c>
      <c r="L137" s="46" t="e">
        <f t="shared" si="8"/>
        <v>#REF!</v>
      </c>
    </row>
    <row r="138" spans="1:12" x14ac:dyDescent="0.25">
      <c r="A138" s="48" t="str">
        <f>Base_Articles!A138</f>
        <v>GSM-0005</v>
      </c>
      <c r="B138" s="48" t="str">
        <f>Base_Articles!C138</f>
        <v>Reglelle 1*1200mm+Lambe</v>
      </c>
      <c r="C138" s="48" t="str">
        <f>Base_Articles!B138</f>
        <v>GSM</v>
      </c>
      <c r="D138" s="49">
        <f>Base_Articles!K138</f>
        <v>0</v>
      </c>
      <c r="E138" s="49" t="e">
        <f>SUMIFS(#REF!,#REF!,A138)</f>
        <v>#REF!</v>
      </c>
      <c r="F138" s="49" t="e">
        <f>SUMIFS(#REF!,#REF!,A138)</f>
        <v>#REF!</v>
      </c>
      <c r="G138" s="49" t="e">
        <f t="shared" si="6"/>
        <v>#REF!</v>
      </c>
      <c r="H138" s="49">
        <f>Base_Articles!G138</f>
        <v>5</v>
      </c>
      <c r="I138" s="49">
        <f>Base_Articles!H138</f>
        <v>50</v>
      </c>
      <c r="J138" s="49">
        <f>Base_Articles!J138</f>
        <v>0</v>
      </c>
      <c r="K138" s="49" t="e">
        <f t="shared" si="7"/>
        <v>#REF!</v>
      </c>
      <c r="L138" s="48" t="e">
        <f t="shared" si="8"/>
        <v>#REF!</v>
      </c>
    </row>
    <row r="139" spans="1:12" x14ac:dyDescent="0.25">
      <c r="A139" s="46" t="str">
        <f>Base_Articles!A139</f>
        <v>GSM-0006</v>
      </c>
      <c r="B139" s="46" t="str">
        <f>Base_Articles!C139</f>
        <v>Lampe MAZDA 220V-50-60</v>
      </c>
      <c r="C139" s="46" t="str">
        <f>Base_Articles!B139</f>
        <v>GSM</v>
      </c>
      <c r="D139" s="47">
        <f>Base_Articles!K139</f>
        <v>0</v>
      </c>
      <c r="E139" s="47" t="e">
        <f>SUMIFS(#REF!,#REF!,A139)</f>
        <v>#REF!</v>
      </c>
      <c r="F139" s="47" t="e">
        <f>SUMIFS(#REF!,#REF!,A139)</f>
        <v>#REF!</v>
      </c>
      <c r="G139" s="47" t="e">
        <f t="shared" si="6"/>
        <v>#REF!</v>
      </c>
      <c r="H139" s="47">
        <f>Base_Articles!G139</f>
        <v>5</v>
      </c>
      <c r="I139" s="47">
        <f>Base_Articles!H139</f>
        <v>50</v>
      </c>
      <c r="J139" s="47">
        <f>Base_Articles!J139</f>
        <v>0</v>
      </c>
      <c r="K139" s="47" t="e">
        <f t="shared" si="7"/>
        <v>#REF!</v>
      </c>
      <c r="L139" s="46" t="e">
        <f t="shared" si="8"/>
        <v>#REF!</v>
      </c>
    </row>
    <row r="140" spans="1:12" x14ac:dyDescent="0.25">
      <c r="A140" s="48" t="str">
        <f>Base_Articles!A140</f>
        <v>GSM-0007</v>
      </c>
      <c r="B140" s="48" t="str">
        <f>Base_Articles!C140</f>
        <v>Prise encastrée</v>
      </c>
      <c r="C140" s="48" t="str">
        <f>Base_Articles!B140</f>
        <v>GSM</v>
      </c>
      <c r="D140" s="49">
        <f>Base_Articles!K140</f>
        <v>0</v>
      </c>
      <c r="E140" s="49" t="e">
        <f>SUMIFS(#REF!,#REF!,A140)</f>
        <v>#REF!</v>
      </c>
      <c r="F140" s="49" t="e">
        <f>SUMIFS(#REF!,#REF!,A140)</f>
        <v>#REF!</v>
      </c>
      <c r="G140" s="49" t="e">
        <f t="shared" si="6"/>
        <v>#REF!</v>
      </c>
      <c r="H140" s="49">
        <f>Base_Articles!G140</f>
        <v>5</v>
      </c>
      <c r="I140" s="49">
        <f>Base_Articles!H140</f>
        <v>50</v>
      </c>
      <c r="J140" s="49">
        <f>Base_Articles!J140</f>
        <v>0</v>
      </c>
      <c r="K140" s="49" t="e">
        <f t="shared" si="7"/>
        <v>#REF!</v>
      </c>
      <c r="L140" s="48" t="e">
        <f t="shared" si="8"/>
        <v>#REF!</v>
      </c>
    </row>
    <row r="141" spans="1:12" x14ac:dyDescent="0.25">
      <c r="A141" s="46" t="str">
        <f>Base_Articles!A141</f>
        <v>GSM-0008</v>
      </c>
      <c r="B141" s="46" t="str">
        <f>Base_Articles!C141</f>
        <v>Isolateur 35mm</v>
      </c>
      <c r="C141" s="46" t="str">
        <f>Base_Articles!B141</f>
        <v>GSM</v>
      </c>
      <c r="D141" s="47">
        <f>Base_Articles!K141</f>
        <v>6</v>
      </c>
      <c r="E141" s="47" t="e">
        <f>SUMIFS(#REF!,#REF!,A141)</f>
        <v>#REF!</v>
      </c>
      <c r="F141" s="47" t="e">
        <f>SUMIFS(#REF!,#REF!,A141)</f>
        <v>#REF!</v>
      </c>
      <c r="G141" s="47" t="e">
        <f t="shared" si="6"/>
        <v>#REF!</v>
      </c>
      <c r="H141" s="47">
        <f>Base_Articles!G141</f>
        <v>5</v>
      </c>
      <c r="I141" s="47">
        <f>Base_Articles!H141</f>
        <v>50</v>
      </c>
      <c r="J141" s="47">
        <f>Base_Articles!J141</f>
        <v>0</v>
      </c>
      <c r="K141" s="47" t="e">
        <f t="shared" si="7"/>
        <v>#REF!</v>
      </c>
      <c r="L141" s="46" t="e">
        <f t="shared" si="8"/>
        <v>#REF!</v>
      </c>
    </row>
    <row r="142" spans="1:12" x14ac:dyDescent="0.25">
      <c r="A142" s="48" t="str">
        <f>Base_Articles!A142</f>
        <v>GSM-0009</v>
      </c>
      <c r="B142" s="48" t="str">
        <f>Base_Articles!C142</f>
        <v>Raccord plat</v>
      </c>
      <c r="C142" s="48" t="str">
        <f>Base_Articles!B142</f>
        <v>GSM</v>
      </c>
      <c r="D142" s="49">
        <f>Base_Articles!K142</f>
        <v>20</v>
      </c>
      <c r="E142" s="49" t="e">
        <f>SUMIFS(#REF!,#REF!,A142)</f>
        <v>#REF!</v>
      </c>
      <c r="F142" s="49" t="e">
        <f>SUMIFS(#REF!,#REF!,A142)</f>
        <v>#REF!</v>
      </c>
      <c r="G142" s="49" t="e">
        <f t="shared" si="6"/>
        <v>#REF!</v>
      </c>
      <c r="H142" s="49">
        <f>Base_Articles!G142</f>
        <v>5</v>
      </c>
      <c r="I142" s="49">
        <f>Base_Articles!H142</f>
        <v>50</v>
      </c>
      <c r="J142" s="49">
        <f>Base_Articles!J142</f>
        <v>0</v>
      </c>
      <c r="K142" s="49" t="e">
        <f t="shared" si="7"/>
        <v>#REF!</v>
      </c>
      <c r="L142" s="48" t="e">
        <f t="shared" si="8"/>
        <v>#REF!</v>
      </c>
    </row>
    <row r="143" spans="1:12" x14ac:dyDescent="0.25">
      <c r="A143" s="46" t="str">
        <f>Base_Articles!A143</f>
        <v>GSM-0010</v>
      </c>
      <c r="B143" s="46" t="str">
        <f>Base_Articles!C143</f>
        <v>Collier inox 4,6*400</v>
      </c>
      <c r="C143" s="46" t="str">
        <f>Base_Articles!B143</f>
        <v>GSM</v>
      </c>
      <c r="D143" s="47">
        <f>Base_Articles!K143</f>
        <v>0</v>
      </c>
      <c r="E143" s="47" t="e">
        <f>SUMIFS(#REF!,#REF!,A143)</f>
        <v>#REF!</v>
      </c>
      <c r="F143" s="47" t="e">
        <f>SUMIFS(#REF!,#REF!,A143)</f>
        <v>#REF!</v>
      </c>
      <c r="G143" s="47" t="e">
        <f t="shared" si="6"/>
        <v>#REF!</v>
      </c>
      <c r="H143" s="47">
        <f>Base_Articles!G143</f>
        <v>5</v>
      </c>
      <c r="I143" s="47">
        <f>Base_Articles!H143</f>
        <v>50</v>
      </c>
      <c r="J143" s="47">
        <f>Base_Articles!J143</f>
        <v>0</v>
      </c>
      <c r="K143" s="47" t="e">
        <f t="shared" si="7"/>
        <v>#REF!</v>
      </c>
      <c r="L143" s="46" t="e">
        <f t="shared" si="8"/>
        <v>#REF!</v>
      </c>
    </row>
    <row r="144" spans="1:12" x14ac:dyDescent="0.25">
      <c r="A144" s="48" t="str">
        <f>Base_Articles!A144</f>
        <v>GSM-0011</v>
      </c>
      <c r="B144" s="48" t="str">
        <f>Base_Articles!C144</f>
        <v>Collier inox 4,6*200</v>
      </c>
      <c r="C144" s="48" t="str">
        <f>Base_Articles!B144</f>
        <v>GSM</v>
      </c>
      <c r="D144" s="49">
        <f>Base_Articles!K144</f>
        <v>0</v>
      </c>
      <c r="E144" s="49" t="e">
        <f>SUMIFS(#REF!,#REF!,A144)</f>
        <v>#REF!</v>
      </c>
      <c r="F144" s="49" t="e">
        <f>SUMIFS(#REF!,#REF!,A144)</f>
        <v>#REF!</v>
      </c>
      <c r="G144" s="49" t="e">
        <f t="shared" si="6"/>
        <v>#REF!</v>
      </c>
      <c r="H144" s="49">
        <f>Base_Articles!G144</f>
        <v>5</v>
      </c>
      <c r="I144" s="49">
        <f>Base_Articles!H144</f>
        <v>50</v>
      </c>
      <c r="J144" s="49">
        <f>Base_Articles!J144</f>
        <v>0</v>
      </c>
      <c r="K144" s="49" t="e">
        <f t="shared" si="7"/>
        <v>#REF!</v>
      </c>
      <c r="L144" s="48" t="e">
        <f t="shared" si="8"/>
        <v>#REF!</v>
      </c>
    </row>
    <row r="145" spans="1:12" x14ac:dyDescent="0.25">
      <c r="A145" s="46" t="str">
        <f>Base_Articles!A145</f>
        <v>GSM-0012</v>
      </c>
      <c r="B145" s="46" t="str">
        <f>Base_Articles!C145</f>
        <v>Grillage orange</v>
      </c>
      <c r="C145" s="46" t="str">
        <f>Base_Articles!B145</f>
        <v>GSM</v>
      </c>
      <c r="D145" s="47">
        <f>Base_Articles!K145</f>
        <v>0</v>
      </c>
      <c r="E145" s="47" t="e">
        <f>SUMIFS(#REF!,#REF!,A145)</f>
        <v>#REF!</v>
      </c>
      <c r="F145" s="47" t="e">
        <f>SUMIFS(#REF!,#REF!,A145)</f>
        <v>#REF!</v>
      </c>
      <c r="G145" s="47" t="e">
        <f t="shared" si="6"/>
        <v>#REF!</v>
      </c>
      <c r="H145" s="47">
        <f>Base_Articles!G145</f>
        <v>5</v>
      </c>
      <c r="I145" s="47">
        <f>Base_Articles!H145</f>
        <v>50</v>
      </c>
      <c r="J145" s="47">
        <f>Base_Articles!J145</f>
        <v>0</v>
      </c>
      <c r="K145" s="47" t="e">
        <f t="shared" si="7"/>
        <v>#REF!</v>
      </c>
      <c r="L145" s="46" t="e">
        <f t="shared" si="8"/>
        <v>#REF!</v>
      </c>
    </row>
    <row r="146" spans="1:12" x14ac:dyDescent="0.25">
      <c r="A146" s="48" t="str">
        <f>Base_Articles!A146</f>
        <v>GSM-0013</v>
      </c>
      <c r="B146" s="48" t="str">
        <f>Base_Articles!C146</f>
        <v>TP Link</v>
      </c>
      <c r="C146" s="48" t="str">
        <f>Base_Articles!B146</f>
        <v>GSM</v>
      </c>
      <c r="D146" s="49">
        <f>Base_Articles!K146</f>
        <v>0</v>
      </c>
      <c r="E146" s="49" t="e">
        <f>SUMIFS(#REF!,#REF!,A146)</f>
        <v>#REF!</v>
      </c>
      <c r="F146" s="49" t="e">
        <f>SUMIFS(#REF!,#REF!,A146)</f>
        <v>#REF!</v>
      </c>
      <c r="G146" s="49" t="e">
        <f t="shared" si="6"/>
        <v>#REF!</v>
      </c>
      <c r="H146" s="49">
        <f>Base_Articles!G146</f>
        <v>5</v>
      </c>
      <c r="I146" s="49">
        <f>Base_Articles!H146</f>
        <v>50</v>
      </c>
      <c r="J146" s="49">
        <f>Base_Articles!J146</f>
        <v>0</v>
      </c>
      <c r="K146" s="49" t="e">
        <f t="shared" si="7"/>
        <v>#REF!</v>
      </c>
      <c r="L146" s="48" t="e">
        <f t="shared" si="8"/>
        <v>#REF!</v>
      </c>
    </row>
    <row r="147" spans="1:12" x14ac:dyDescent="0.25">
      <c r="A147" s="46" t="str">
        <f>Base_Articles!A147</f>
        <v>GSM-0014</v>
      </c>
      <c r="B147" s="46" t="str">
        <f>Base_Articles!C147</f>
        <v>Embou noir</v>
      </c>
      <c r="C147" s="46" t="str">
        <f>Base_Articles!B147</f>
        <v>GSM</v>
      </c>
      <c r="D147" s="47">
        <f>Base_Articles!K147</f>
        <v>0</v>
      </c>
      <c r="E147" s="47" t="e">
        <f>SUMIFS(#REF!,#REF!,A147)</f>
        <v>#REF!</v>
      </c>
      <c r="F147" s="47" t="e">
        <f>SUMIFS(#REF!,#REF!,A147)</f>
        <v>#REF!</v>
      </c>
      <c r="G147" s="47" t="e">
        <f t="shared" si="6"/>
        <v>#REF!</v>
      </c>
      <c r="H147" s="47">
        <f>Base_Articles!G147</f>
        <v>5</v>
      </c>
      <c r="I147" s="47">
        <f>Base_Articles!H147</f>
        <v>50</v>
      </c>
      <c r="J147" s="47">
        <f>Base_Articles!J147</f>
        <v>0</v>
      </c>
      <c r="K147" s="47" t="e">
        <f t="shared" si="7"/>
        <v>#REF!</v>
      </c>
      <c r="L147" s="46" t="e">
        <f t="shared" si="8"/>
        <v>#REF!</v>
      </c>
    </row>
    <row r="148" spans="1:12" x14ac:dyDescent="0.25">
      <c r="A148" s="48" t="str">
        <f>Base_Articles!A148</f>
        <v>GSM-0015</v>
      </c>
      <c r="B148" s="48" t="str">
        <f>Base_Articles!C148</f>
        <v>Balise solaire</v>
      </c>
      <c r="C148" s="48" t="str">
        <f>Base_Articles!B148</f>
        <v>GSM</v>
      </c>
      <c r="D148" s="49">
        <f>Base_Articles!K148</f>
        <v>0</v>
      </c>
      <c r="E148" s="49" t="e">
        <f>SUMIFS(#REF!,#REF!,A148)</f>
        <v>#REF!</v>
      </c>
      <c r="F148" s="49" t="e">
        <f>SUMIFS(#REF!,#REF!,A148)</f>
        <v>#REF!</v>
      </c>
      <c r="G148" s="49" t="e">
        <f t="shared" si="6"/>
        <v>#REF!</v>
      </c>
      <c r="H148" s="49">
        <f>Base_Articles!G148</f>
        <v>5</v>
      </c>
      <c r="I148" s="49">
        <f>Base_Articles!H148</f>
        <v>50</v>
      </c>
      <c r="J148" s="49">
        <f>Base_Articles!J148</f>
        <v>0</v>
      </c>
      <c r="K148" s="49" t="e">
        <f t="shared" si="7"/>
        <v>#REF!</v>
      </c>
      <c r="L148" s="48" t="e">
        <f t="shared" si="8"/>
        <v>#REF!</v>
      </c>
    </row>
    <row r="149" spans="1:12" x14ac:dyDescent="0.25">
      <c r="A149" s="46" t="str">
        <f>Base_Articles!A149</f>
        <v>GSM-0016</v>
      </c>
      <c r="B149" s="46" t="str">
        <f>Base_Articles!C149</f>
        <v>Collier embase</v>
      </c>
      <c r="C149" s="46" t="str">
        <f>Base_Articles!B149</f>
        <v>GSM</v>
      </c>
      <c r="D149" s="47">
        <f>Base_Articles!K149</f>
        <v>102</v>
      </c>
      <c r="E149" s="47" t="e">
        <f>SUMIFS(#REF!,#REF!,A149)</f>
        <v>#REF!</v>
      </c>
      <c r="F149" s="47" t="e">
        <f>SUMIFS(#REF!,#REF!,A149)</f>
        <v>#REF!</v>
      </c>
      <c r="G149" s="47" t="e">
        <f t="shared" si="6"/>
        <v>#REF!</v>
      </c>
      <c r="H149" s="47">
        <f>Base_Articles!G149</f>
        <v>20</v>
      </c>
      <c r="I149" s="47">
        <f>Base_Articles!H149</f>
        <v>153</v>
      </c>
      <c r="J149" s="47">
        <f>Base_Articles!J149</f>
        <v>0</v>
      </c>
      <c r="K149" s="47" t="e">
        <f t="shared" si="7"/>
        <v>#REF!</v>
      </c>
      <c r="L149" s="46" t="e">
        <f t="shared" si="8"/>
        <v>#REF!</v>
      </c>
    </row>
    <row r="150" spans="1:12" x14ac:dyDescent="0.25">
      <c r="A150" s="48" t="str">
        <f>Base_Articles!A150</f>
        <v>GSM-0017</v>
      </c>
      <c r="B150" s="48" t="str">
        <f>Base_Articles!C150</f>
        <v>Coffret 10 modules</v>
      </c>
      <c r="C150" s="48" t="str">
        <f>Base_Articles!B150</f>
        <v>GSM</v>
      </c>
      <c r="D150" s="49">
        <f>Base_Articles!K150</f>
        <v>0</v>
      </c>
      <c r="E150" s="49" t="e">
        <f>SUMIFS(#REF!,#REF!,A150)</f>
        <v>#REF!</v>
      </c>
      <c r="F150" s="49" t="e">
        <f>SUMIFS(#REF!,#REF!,A150)</f>
        <v>#REF!</v>
      </c>
      <c r="G150" s="49" t="e">
        <f t="shared" si="6"/>
        <v>#REF!</v>
      </c>
      <c r="H150" s="49">
        <f>Base_Articles!G150</f>
        <v>5</v>
      </c>
      <c r="I150" s="49">
        <f>Base_Articles!H150</f>
        <v>50</v>
      </c>
      <c r="J150" s="49">
        <f>Base_Articles!J150</f>
        <v>0</v>
      </c>
      <c r="K150" s="49" t="e">
        <f t="shared" si="7"/>
        <v>#REF!</v>
      </c>
      <c r="L150" s="48" t="e">
        <f t="shared" si="8"/>
        <v>#REF!</v>
      </c>
    </row>
    <row r="151" spans="1:12" x14ac:dyDescent="0.25">
      <c r="A151" s="46" t="str">
        <f>Base_Articles!A151</f>
        <v>GSM-0018</v>
      </c>
      <c r="B151" s="46" t="str">
        <f>Base_Articles!C151</f>
        <v>Coffret 12 modules</v>
      </c>
      <c r="C151" s="46" t="str">
        <f>Base_Articles!B151</f>
        <v>GSM</v>
      </c>
      <c r="D151" s="47">
        <f>Base_Articles!K151</f>
        <v>0</v>
      </c>
      <c r="E151" s="47" t="e">
        <f>SUMIFS(#REF!,#REF!,A151)</f>
        <v>#REF!</v>
      </c>
      <c r="F151" s="47" t="e">
        <f>SUMIFS(#REF!,#REF!,A151)</f>
        <v>#REF!</v>
      </c>
      <c r="G151" s="47" t="e">
        <f t="shared" si="6"/>
        <v>#REF!</v>
      </c>
      <c r="H151" s="47">
        <f>Base_Articles!G151</f>
        <v>5</v>
      </c>
      <c r="I151" s="47">
        <f>Base_Articles!H151</f>
        <v>50</v>
      </c>
      <c r="J151" s="47">
        <f>Base_Articles!J151</f>
        <v>0</v>
      </c>
      <c r="K151" s="47" t="e">
        <f t="shared" si="7"/>
        <v>#REF!</v>
      </c>
      <c r="L151" s="46" t="e">
        <f t="shared" si="8"/>
        <v>#REF!</v>
      </c>
    </row>
    <row r="152" spans="1:12" x14ac:dyDescent="0.25">
      <c r="A152" s="48" t="str">
        <f>Base_Articles!A152</f>
        <v>GSM-0019</v>
      </c>
      <c r="B152" s="48" t="str">
        <f>Base_Articles!C152</f>
        <v>Boite de derivation</v>
      </c>
      <c r="C152" s="48" t="str">
        <f>Base_Articles!B152</f>
        <v>GSM</v>
      </c>
      <c r="D152" s="49">
        <f>Base_Articles!K152</f>
        <v>0</v>
      </c>
      <c r="E152" s="49" t="e">
        <f>SUMIFS(#REF!,#REF!,A152)</f>
        <v>#REF!</v>
      </c>
      <c r="F152" s="49" t="e">
        <f>SUMIFS(#REF!,#REF!,A152)</f>
        <v>#REF!</v>
      </c>
      <c r="G152" s="49" t="e">
        <f t="shared" si="6"/>
        <v>#REF!</v>
      </c>
      <c r="H152" s="49">
        <f>Base_Articles!G152</f>
        <v>5</v>
      </c>
      <c r="I152" s="49">
        <f>Base_Articles!H152</f>
        <v>50</v>
      </c>
      <c r="J152" s="49">
        <f>Base_Articles!J152</f>
        <v>0</v>
      </c>
      <c r="K152" s="49" t="e">
        <f t="shared" si="7"/>
        <v>#REF!</v>
      </c>
      <c r="L152" s="48" t="e">
        <f t="shared" si="8"/>
        <v>#REF!</v>
      </c>
    </row>
    <row r="153" spans="1:12" x14ac:dyDescent="0.25">
      <c r="A153" s="46" t="str">
        <f>Base_Articles!A153</f>
        <v>GSM-0020</v>
      </c>
      <c r="B153" s="46" t="str">
        <f>Base_Articles!C153</f>
        <v>Circlip plat</v>
      </c>
      <c r="C153" s="46" t="str">
        <f>Base_Articles!B153</f>
        <v>GSM</v>
      </c>
      <c r="D153" s="47">
        <f>Base_Articles!K153</f>
        <v>0</v>
      </c>
      <c r="E153" s="47" t="e">
        <f>SUMIFS(#REF!,#REF!,A153)</f>
        <v>#REF!</v>
      </c>
      <c r="F153" s="47" t="e">
        <f>SUMIFS(#REF!,#REF!,A153)</f>
        <v>#REF!</v>
      </c>
      <c r="G153" s="47" t="e">
        <f t="shared" si="6"/>
        <v>#REF!</v>
      </c>
      <c r="H153" s="47">
        <f>Base_Articles!G153</f>
        <v>5</v>
      </c>
      <c r="I153" s="47">
        <f>Base_Articles!H153</f>
        <v>50</v>
      </c>
      <c r="J153" s="47">
        <f>Base_Articles!J153</f>
        <v>0</v>
      </c>
      <c r="K153" s="47" t="e">
        <f t="shared" si="7"/>
        <v>#REF!</v>
      </c>
      <c r="L153" s="46" t="e">
        <f t="shared" si="8"/>
        <v>#REF!</v>
      </c>
    </row>
    <row r="154" spans="1:12" x14ac:dyDescent="0.25">
      <c r="A154" s="48" t="str">
        <f>Base_Articles!A154</f>
        <v>GSM-0021</v>
      </c>
      <c r="B154" s="48" t="str">
        <f>Base_Articles!C154</f>
        <v>Corse 16</v>
      </c>
      <c r="C154" s="48" t="str">
        <f>Base_Articles!B154</f>
        <v>GSM</v>
      </c>
      <c r="D154" s="49">
        <f>Base_Articles!K154</f>
        <v>0</v>
      </c>
      <c r="E154" s="49" t="e">
        <f>SUMIFS(#REF!,#REF!,A154)</f>
        <v>#REF!</v>
      </c>
      <c r="F154" s="49" t="e">
        <f>SUMIFS(#REF!,#REF!,A154)</f>
        <v>#REF!</v>
      </c>
      <c r="G154" s="49" t="e">
        <f t="shared" si="6"/>
        <v>#REF!</v>
      </c>
      <c r="H154" s="49">
        <f>Base_Articles!G154</f>
        <v>5</v>
      </c>
      <c r="I154" s="49">
        <f>Base_Articles!H154</f>
        <v>50</v>
      </c>
      <c r="J154" s="49">
        <f>Base_Articles!J154</f>
        <v>0</v>
      </c>
      <c r="K154" s="49" t="e">
        <f t="shared" si="7"/>
        <v>#REF!</v>
      </c>
      <c r="L154" s="48" t="e">
        <f t="shared" si="8"/>
        <v>#REF!</v>
      </c>
    </row>
    <row r="155" spans="1:12" x14ac:dyDescent="0.25">
      <c r="A155" s="46" t="str">
        <f>Base_Articles!A155</f>
        <v>GSM-0022</v>
      </c>
      <c r="B155" s="46" t="str">
        <f>Base_Articles!C155</f>
        <v>Corse 35</v>
      </c>
      <c r="C155" s="46" t="str">
        <f>Base_Articles!B155</f>
        <v>GSM</v>
      </c>
      <c r="D155" s="47">
        <f>Base_Articles!K155</f>
        <v>0</v>
      </c>
      <c r="E155" s="47" t="e">
        <f>SUMIFS(#REF!,#REF!,A155)</f>
        <v>#REF!</v>
      </c>
      <c r="F155" s="47" t="e">
        <f>SUMIFS(#REF!,#REF!,A155)</f>
        <v>#REF!</v>
      </c>
      <c r="G155" s="47" t="e">
        <f t="shared" si="6"/>
        <v>#REF!</v>
      </c>
      <c r="H155" s="47">
        <f>Base_Articles!G155</f>
        <v>5</v>
      </c>
      <c r="I155" s="47">
        <f>Base_Articles!H155</f>
        <v>50</v>
      </c>
      <c r="J155" s="47">
        <f>Base_Articles!J155</f>
        <v>0</v>
      </c>
      <c r="K155" s="47" t="e">
        <f t="shared" si="7"/>
        <v>#REF!</v>
      </c>
      <c r="L155" s="46" t="e">
        <f t="shared" si="8"/>
        <v>#REF!</v>
      </c>
    </row>
    <row r="156" spans="1:12" x14ac:dyDescent="0.25">
      <c r="A156" s="48" t="str">
        <f>Base_Articles!A156</f>
        <v>GSM-0023</v>
      </c>
      <c r="B156" s="48" t="str">
        <f>Base_Articles!C156</f>
        <v>Circlip rond</v>
      </c>
      <c r="C156" s="48" t="str">
        <f>Base_Articles!B156</f>
        <v>GSM</v>
      </c>
      <c r="D156" s="49">
        <f>Base_Articles!K156</f>
        <v>0</v>
      </c>
      <c r="E156" s="49" t="e">
        <f>SUMIFS(#REF!,#REF!,A156)</f>
        <v>#REF!</v>
      </c>
      <c r="F156" s="49" t="e">
        <f>SUMIFS(#REF!,#REF!,A156)</f>
        <v>#REF!</v>
      </c>
      <c r="G156" s="49" t="e">
        <f t="shared" si="6"/>
        <v>#REF!</v>
      </c>
      <c r="H156" s="49">
        <f>Base_Articles!G156</f>
        <v>5</v>
      </c>
      <c r="I156" s="49">
        <f>Base_Articles!H156</f>
        <v>50</v>
      </c>
      <c r="J156" s="49">
        <f>Base_Articles!J156</f>
        <v>0</v>
      </c>
      <c r="K156" s="49" t="e">
        <f t="shared" si="7"/>
        <v>#REF!</v>
      </c>
      <c r="L156" s="48" t="e">
        <f t="shared" si="8"/>
        <v>#REF!</v>
      </c>
    </row>
    <row r="157" spans="1:12" x14ac:dyDescent="0.25">
      <c r="A157" s="46" t="str">
        <f>Base_Articles!A157</f>
        <v>GSM-0024</v>
      </c>
      <c r="B157" s="46" t="str">
        <f>Base_Articles!C157</f>
        <v>DPN 10A</v>
      </c>
      <c r="C157" s="46" t="str">
        <f>Base_Articles!B157</f>
        <v>GSM</v>
      </c>
      <c r="D157" s="47">
        <f>Base_Articles!K157</f>
        <v>0</v>
      </c>
      <c r="E157" s="47" t="e">
        <f>SUMIFS(#REF!,#REF!,A157)</f>
        <v>#REF!</v>
      </c>
      <c r="F157" s="47" t="e">
        <f>SUMIFS(#REF!,#REF!,A157)</f>
        <v>#REF!</v>
      </c>
      <c r="G157" s="47" t="e">
        <f t="shared" si="6"/>
        <v>#REF!</v>
      </c>
      <c r="H157" s="47">
        <f>Base_Articles!G157</f>
        <v>5</v>
      </c>
      <c r="I157" s="47">
        <f>Base_Articles!H157</f>
        <v>50</v>
      </c>
      <c r="J157" s="47">
        <f>Base_Articles!J157</f>
        <v>0</v>
      </c>
      <c r="K157" s="47" t="e">
        <f t="shared" si="7"/>
        <v>#REF!</v>
      </c>
      <c r="L157" s="46" t="e">
        <f t="shared" si="8"/>
        <v>#REF!</v>
      </c>
    </row>
    <row r="158" spans="1:12" x14ac:dyDescent="0.25">
      <c r="A158" s="48" t="str">
        <f>Base_Articles!A158</f>
        <v>GSM-0025</v>
      </c>
      <c r="B158" s="48" t="str">
        <f>Base_Articles!C158</f>
        <v>DPN 16A</v>
      </c>
      <c r="C158" s="48" t="str">
        <f>Base_Articles!B158</f>
        <v>GSM</v>
      </c>
      <c r="D158" s="49">
        <f>Base_Articles!K158</f>
        <v>0</v>
      </c>
      <c r="E158" s="49" t="e">
        <f>SUMIFS(#REF!,#REF!,A158)</f>
        <v>#REF!</v>
      </c>
      <c r="F158" s="49" t="e">
        <f>SUMIFS(#REF!,#REF!,A158)</f>
        <v>#REF!</v>
      </c>
      <c r="G158" s="49" t="e">
        <f t="shared" si="6"/>
        <v>#REF!</v>
      </c>
      <c r="H158" s="49">
        <f>Base_Articles!G158</f>
        <v>5</v>
      </c>
      <c r="I158" s="49">
        <f>Base_Articles!H158</f>
        <v>50</v>
      </c>
      <c r="J158" s="49">
        <f>Base_Articles!J158</f>
        <v>0</v>
      </c>
      <c r="K158" s="49" t="e">
        <f t="shared" si="7"/>
        <v>#REF!</v>
      </c>
      <c r="L158" s="48" t="e">
        <f t="shared" si="8"/>
        <v>#REF!</v>
      </c>
    </row>
    <row r="159" spans="1:12" x14ac:dyDescent="0.25">
      <c r="A159" s="46" t="str">
        <f>Base_Articles!A159</f>
        <v>GSM-0026</v>
      </c>
      <c r="B159" s="46" t="str">
        <f>Base_Articles!C159</f>
        <v>Parafoudre</v>
      </c>
      <c r="C159" s="46" t="str">
        <f>Base_Articles!B159</f>
        <v>GSM</v>
      </c>
      <c r="D159" s="47">
        <f>Base_Articles!K159</f>
        <v>0</v>
      </c>
      <c r="E159" s="47" t="e">
        <f>SUMIFS(#REF!,#REF!,A159)</f>
        <v>#REF!</v>
      </c>
      <c r="F159" s="47" t="e">
        <f>SUMIFS(#REF!,#REF!,A159)</f>
        <v>#REF!</v>
      </c>
      <c r="G159" s="47" t="e">
        <f t="shared" si="6"/>
        <v>#REF!</v>
      </c>
      <c r="H159" s="47">
        <f>Base_Articles!G159</f>
        <v>5</v>
      </c>
      <c r="I159" s="47">
        <f>Base_Articles!H159</f>
        <v>50</v>
      </c>
      <c r="J159" s="47">
        <f>Base_Articles!J159</f>
        <v>0</v>
      </c>
      <c r="K159" s="47" t="e">
        <f t="shared" si="7"/>
        <v>#REF!</v>
      </c>
      <c r="L159" s="46" t="e">
        <f t="shared" si="8"/>
        <v>#REF!</v>
      </c>
    </row>
    <row r="160" spans="1:12" x14ac:dyDescent="0.25">
      <c r="A160" s="48" t="str">
        <f>Base_Articles!A160</f>
        <v>GSM-0027</v>
      </c>
      <c r="B160" s="48" t="str">
        <f>Base_Articles!C160</f>
        <v>Vis 4*40mm</v>
      </c>
      <c r="C160" s="48" t="str">
        <f>Base_Articles!B160</f>
        <v>GSM</v>
      </c>
      <c r="D160" s="49">
        <f>Base_Articles!K160</f>
        <v>0</v>
      </c>
      <c r="E160" s="49" t="e">
        <f>SUMIFS(#REF!,#REF!,A160)</f>
        <v>#REF!</v>
      </c>
      <c r="F160" s="49" t="e">
        <f>SUMIFS(#REF!,#REF!,A160)</f>
        <v>#REF!</v>
      </c>
      <c r="G160" s="49" t="e">
        <f t="shared" si="6"/>
        <v>#REF!</v>
      </c>
      <c r="H160" s="49">
        <f>Base_Articles!G160</f>
        <v>5</v>
      </c>
      <c r="I160" s="49">
        <f>Base_Articles!H160</f>
        <v>50</v>
      </c>
      <c r="J160" s="49">
        <f>Base_Articles!J160</f>
        <v>0</v>
      </c>
      <c r="K160" s="49" t="e">
        <f t="shared" si="7"/>
        <v>#REF!</v>
      </c>
      <c r="L160" s="48" t="e">
        <f t="shared" si="8"/>
        <v>#REF!</v>
      </c>
    </row>
    <row r="161" spans="1:12" x14ac:dyDescent="0.25">
      <c r="A161" s="46" t="str">
        <f>Base_Articles!A161</f>
        <v>GSM-0028</v>
      </c>
      <c r="B161" s="46" t="str">
        <f>Base_Articles!C161</f>
        <v>Vis parquer 4*20</v>
      </c>
      <c r="C161" s="46" t="str">
        <f>Base_Articles!B161</f>
        <v>GSM</v>
      </c>
      <c r="D161" s="47">
        <f>Base_Articles!K161</f>
        <v>0</v>
      </c>
      <c r="E161" s="47" t="e">
        <f>SUMIFS(#REF!,#REF!,A161)</f>
        <v>#REF!</v>
      </c>
      <c r="F161" s="47" t="e">
        <f>SUMIFS(#REF!,#REF!,A161)</f>
        <v>#REF!</v>
      </c>
      <c r="G161" s="47" t="e">
        <f t="shared" si="6"/>
        <v>#REF!</v>
      </c>
      <c r="H161" s="47">
        <f>Base_Articles!G161</f>
        <v>5</v>
      </c>
      <c r="I161" s="47">
        <f>Base_Articles!H161</f>
        <v>50</v>
      </c>
      <c r="J161" s="47">
        <f>Base_Articles!J161</f>
        <v>0</v>
      </c>
      <c r="K161" s="47" t="e">
        <f t="shared" si="7"/>
        <v>#REF!</v>
      </c>
      <c r="L161" s="46" t="e">
        <f t="shared" si="8"/>
        <v>#REF!</v>
      </c>
    </row>
    <row r="162" spans="1:12" x14ac:dyDescent="0.25">
      <c r="A162" s="48" t="str">
        <f>Base_Articles!A162</f>
        <v>GSM-0029</v>
      </c>
      <c r="B162" s="48" t="str">
        <f>Base_Articles!C162</f>
        <v>Cosse pour piquet de terre</v>
      </c>
      <c r="C162" s="48" t="str">
        <f>Base_Articles!B162</f>
        <v>GSM</v>
      </c>
      <c r="D162" s="49">
        <f>Base_Articles!K162</f>
        <v>0</v>
      </c>
      <c r="E162" s="49" t="e">
        <f>SUMIFS(#REF!,#REF!,A162)</f>
        <v>#REF!</v>
      </c>
      <c r="F162" s="49" t="e">
        <f>SUMIFS(#REF!,#REF!,A162)</f>
        <v>#REF!</v>
      </c>
      <c r="G162" s="49" t="e">
        <f t="shared" si="6"/>
        <v>#REF!</v>
      </c>
      <c r="H162" s="49">
        <f>Base_Articles!G162</f>
        <v>5</v>
      </c>
      <c r="I162" s="49">
        <f>Base_Articles!H162</f>
        <v>50</v>
      </c>
      <c r="J162" s="49">
        <f>Base_Articles!J162</f>
        <v>0</v>
      </c>
      <c r="K162" s="49" t="e">
        <f t="shared" si="7"/>
        <v>#REF!</v>
      </c>
      <c r="L162" s="48" t="e">
        <f t="shared" si="8"/>
        <v>#REF!</v>
      </c>
    </row>
    <row r="163" spans="1:12" x14ac:dyDescent="0.25">
      <c r="A163" s="46" t="str">
        <f>Base_Articles!A163</f>
        <v>GSM-0030</v>
      </c>
      <c r="B163" s="46" t="str">
        <f>Base_Articles!C163</f>
        <v>Domino grand</v>
      </c>
      <c r="C163" s="46" t="str">
        <f>Base_Articles!B163</f>
        <v>GSM</v>
      </c>
      <c r="D163" s="47">
        <f>Base_Articles!K163</f>
        <v>0</v>
      </c>
      <c r="E163" s="47" t="e">
        <f>SUMIFS(#REF!,#REF!,A163)</f>
        <v>#REF!</v>
      </c>
      <c r="F163" s="47" t="e">
        <f>SUMIFS(#REF!,#REF!,A163)</f>
        <v>#REF!</v>
      </c>
      <c r="G163" s="47" t="e">
        <f t="shared" si="6"/>
        <v>#REF!</v>
      </c>
      <c r="H163" s="47">
        <f>Base_Articles!G163</f>
        <v>5</v>
      </c>
      <c r="I163" s="47">
        <f>Base_Articles!H163</f>
        <v>50</v>
      </c>
      <c r="J163" s="47">
        <f>Base_Articles!J163</f>
        <v>0</v>
      </c>
      <c r="K163" s="47" t="e">
        <f t="shared" si="7"/>
        <v>#REF!</v>
      </c>
      <c r="L163" s="46" t="e">
        <f t="shared" si="8"/>
        <v>#REF!</v>
      </c>
    </row>
    <row r="164" spans="1:12" x14ac:dyDescent="0.25">
      <c r="A164" s="48" t="str">
        <f>Base_Articles!A164</f>
        <v>GSM-0031</v>
      </c>
      <c r="B164" s="48" t="str">
        <f>Base_Articles!C164</f>
        <v>Domino petit</v>
      </c>
      <c r="C164" s="48" t="str">
        <f>Base_Articles!B164</f>
        <v>GSM</v>
      </c>
      <c r="D164" s="49">
        <f>Base_Articles!K164</f>
        <v>0</v>
      </c>
      <c r="E164" s="49" t="e">
        <f>SUMIFS(#REF!,#REF!,A164)</f>
        <v>#REF!</v>
      </c>
      <c r="F164" s="49" t="e">
        <f>SUMIFS(#REF!,#REF!,A164)</f>
        <v>#REF!</v>
      </c>
      <c r="G164" s="49" t="e">
        <f t="shared" si="6"/>
        <v>#REF!</v>
      </c>
      <c r="H164" s="49">
        <f>Base_Articles!G164</f>
        <v>5</v>
      </c>
      <c r="I164" s="49">
        <f>Base_Articles!H164</f>
        <v>50</v>
      </c>
      <c r="J164" s="49">
        <f>Base_Articles!J164</f>
        <v>0</v>
      </c>
      <c r="K164" s="49" t="e">
        <f t="shared" si="7"/>
        <v>#REF!</v>
      </c>
      <c r="L164" s="48" t="e">
        <f t="shared" si="8"/>
        <v>#REF!</v>
      </c>
    </row>
    <row r="165" spans="1:12" x14ac:dyDescent="0.25">
      <c r="A165" s="46" t="str">
        <f>Base_Articles!A165</f>
        <v>GSM-0032</v>
      </c>
      <c r="B165" s="46" t="str">
        <f>Base_Articles!C165</f>
        <v>Cable Jaune/vert  (100m)</v>
      </c>
      <c r="C165" s="46" t="str">
        <f>Base_Articles!B165</f>
        <v>GSM</v>
      </c>
      <c r="D165" s="47">
        <f>Base_Articles!K165</f>
        <v>0</v>
      </c>
      <c r="E165" s="47" t="e">
        <f>SUMIFS(#REF!,#REF!,A165)</f>
        <v>#REF!</v>
      </c>
      <c r="F165" s="47" t="e">
        <f>SUMIFS(#REF!,#REF!,A165)</f>
        <v>#REF!</v>
      </c>
      <c r="G165" s="47" t="e">
        <f t="shared" si="6"/>
        <v>#REF!</v>
      </c>
      <c r="H165" s="47">
        <f>Base_Articles!G165</f>
        <v>5</v>
      </c>
      <c r="I165" s="47">
        <f>Base_Articles!H165</f>
        <v>50</v>
      </c>
      <c r="J165" s="47">
        <f>Base_Articles!J165</f>
        <v>0</v>
      </c>
      <c r="K165" s="47" t="e">
        <f t="shared" si="7"/>
        <v>#REF!</v>
      </c>
      <c r="L165" s="46" t="e">
        <f t="shared" si="8"/>
        <v>#REF!</v>
      </c>
    </row>
    <row r="166" spans="1:12" x14ac:dyDescent="0.25">
      <c r="A166" s="48" t="str">
        <f>Base_Articles!A166</f>
        <v>GSM-0033</v>
      </c>
      <c r="B166" s="48" t="str">
        <f>Base_Articles!C166</f>
        <v>Cable HG1000 3*2,5 (100m)</v>
      </c>
      <c r="C166" s="48" t="str">
        <f>Base_Articles!B166</f>
        <v>GSM</v>
      </c>
      <c r="D166" s="49">
        <f>Base_Articles!K166</f>
        <v>0</v>
      </c>
      <c r="E166" s="49" t="e">
        <f>SUMIFS(#REF!,#REF!,A166)</f>
        <v>#REF!</v>
      </c>
      <c r="F166" s="49" t="e">
        <f>SUMIFS(#REF!,#REF!,A166)</f>
        <v>#REF!</v>
      </c>
      <c r="G166" s="49" t="e">
        <f t="shared" si="6"/>
        <v>#REF!</v>
      </c>
      <c r="H166" s="49">
        <f>Base_Articles!G166</f>
        <v>5</v>
      </c>
      <c r="I166" s="49">
        <f>Base_Articles!H166</f>
        <v>50</v>
      </c>
      <c r="J166" s="49">
        <f>Base_Articles!J166</f>
        <v>0</v>
      </c>
      <c r="K166" s="49" t="e">
        <f t="shared" si="7"/>
        <v>#REF!</v>
      </c>
      <c r="L166" s="48" t="e">
        <f t="shared" si="8"/>
        <v>#REF!</v>
      </c>
    </row>
    <row r="167" spans="1:12" x14ac:dyDescent="0.25">
      <c r="A167" s="46" t="str">
        <f>Base_Articles!A167</f>
        <v>GSM-0034</v>
      </c>
      <c r="B167" s="46" t="str">
        <f>Base_Articles!C167</f>
        <v>Cable HG1000 3*1,5 (100m)</v>
      </c>
      <c r="C167" s="46" t="str">
        <f>Base_Articles!B167</f>
        <v>GSM</v>
      </c>
      <c r="D167" s="47">
        <f>Base_Articles!K167</f>
        <v>0</v>
      </c>
      <c r="E167" s="47" t="e">
        <f>SUMIFS(#REF!,#REF!,A167)</f>
        <v>#REF!</v>
      </c>
      <c r="F167" s="47" t="e">
        <f>SUMIFS(#REF!,#REF!,A167)</f>
        <v>#REF!</v>
      </c>
      <c r="G167" s="47" t="e">
        <f t="shared" si="6"/>
        <v>#REF!</v>
      </c>
      <c r="H167" s="47">
        <f>Base_Articles!G167</f>
        <v>5</v>
      </c>
      <c r="I167" s="47">
        <f>Base_Articles!H167</f>
        <v>50</v>
      </c>
      <c r="J167" s="47">
        <f>Base_Articles!J167</f>
        <v>0</v>
      </c>
      <c r="K167" s="47" t="e">
        <f t="shared" si="7"/>
        <v>#REF!</v>
      </c>
      <c r="L167" s="46" t="e">
        <f t="shared" si="8"/>
        <v>#REF!</v>
      </c>
    </row>
    <row r="168" spans="1:12" x14ac:dyDescent="0.25">
      <c r="A168" s="48" t="str">
        <f>Base_Articles!A168</f>
        <v>GSM-0035</v>
      </c>
      <c r="B168" s="48" t="str">
        <f>Base_Articles!C168</f>
        <v>Gaine grise D40 (50m)</v>
      </c>
      <c r="C168" s="48" t="str">
        <f>Base_Articles!B168</f>
        <v>GSM</v>
      </c>
      <c r="D168" s="49">
        <f>Base_Articles!K168</f>
        <v>0</v>
      </c>
      <c r="E168" s="49" t="e">
        <f>SUMIFS(#REF!,#REF!,A168)</f>
        <v>#REF!</v>
      </c>
      <c r="F168" s="49" t="e">
        <f>SUMIFS(#REF!,#REF!,A168)</f>
        <v>#REF!</v>
      </c>
      <c r="G168" s="49" t="e">
        <f t="shared" si="6"/>
        <v>#REF!</v>
      </c>
      <c r="H168" s="49">
        <f>Base_Articles!G168</f>
        <v>5</v>
      </c>
      <c r="I168" s="49">
        <f>Base_Articles!H168</f>
        <v>50</v>
      </c>
      <c r="J168" s="49">
        <f>Base_Articles!J168</f>
        <v>0</v>
      </c>
      <c r="K168" s="49" t="e">
        <f t="shared" si="7"/>
        <v>#REF!</v>
      </c>
      <c r="L168" s="48" t="e">
        <f t="shared" si="8"/>
        <v>#REF!</v>
      </c>
    </row>
    <row r="169" spans="1:12" x14ac:dyDescent="0.25">
      <c r="A169" s="46" t="str">
        <f>Base_Articles!A169</f>
        <v>GSM-0036</v>
      </c>
      <c r="B169" s="46" t="str">
        <f>Base_Articles!C169</f>
        <v>Barbelet D50m</v>
      </c>
      <c r="C169" s="46" t="str">
        <f>Base_Articles!B169</f>
        <v>GSM</v>
      </c>
      <c r="D169" s="47">
        <f>Base_Articles!K169</f>
        <v>0</v>
      </c>
      <c r="E169" s="47" t="e">
        <f>SUMIFS(#REF!,#REF!,A169)</f>
        <v>#REF!</v>
      </c>
      <c r="F169" s="47" t="e">
        <f>SUMIFS(#REF!,#REF!,A169)</f>
        <v>#REF!</v>
      </c>
      <c r="G169" s="47" t="e">
        <f t="shared" si="6"/>
        <v>#REF!</v>
      </c>
      <c r="H169" s="47">
        <f>Base_Articles!G169</f>
        <v>5</v>
      </c>
      <c r="I169" s="47">
        <f>Base_Articles!H169</f>
        <v>50</v>
      </c>
      <c r="J169" s="47">
        <f>Base_Articles!J169</f>
        <v>0</v>
      </c>
      <c r="K169" s="47" t="e">
        <f t="shared" si="7"/>
        <v>#REF!</v>
      </c>
      <c r="L169" s="46" t="e">
        <f t="shared" si="8"/>
        <v>#REF!</v>
      </c>
    </row>
    <row r="170" spans="1:12" x14ac:dyDescent="0.25">
      <c r="A170" s="48" t="str">
        <f>Base_Articles!A170</f>
        <v>GSM-0037</v>
      </c>
      <c r="B170" s="48" t="str">
        <f>Base_Articles!C170</f>
        <v>Support barbelet D50m</v>
      </c>
      <c r="C170" s="48" t="str">
        <f>Base_Articles!B170</f>
        <v>GSM</v>
      </c>
      <c r="D170" s="49">
        <f>Base_Articles!K170</f>
        <v>0</v>
      </c>
      <c r="E170" s="49" t="e">
        <f>SUMIFS(#REF!,#REF!,A170)</f>
        <v>#REF!</v>
      </c>
      <c r="F170" s="49" t="e">
        <f>SUMIFS(#REF!,#REF!,A170)</f>
        <v>#REF!</v>
      </c>
      <c r="G170" s="49" t="e">
        <f t="shared" si="6"/>
        <v>#REF!</v>
      </c>
      <c r="H170" s="49">
        <f>Base_Articles!G170</f>
        <v>5</v>
      </c>
      <c r="I170" s="49">
        <f>Base_Articles!H170</f>
        <v>50</v>
      </c>
      <c r="J170" s="49">
        <f>Base_Articles!J170</f>
        <v>0</v>
      </c>
      <c r="K170" s="49" t="e">
        <f t="shared" si="7"/>
        <v>#REF!</v>
      </c>
      <c r="L170" s="48" t="e">
        <f t="shared" si="8"/>
        <v>#REF!</v>
      </c>
    </row>
    <row r="171" spans="1:12" x14ac:dyDescent="0.25">
      <c r="A171" s="46" t="str">
        <f>Base_Articles!A171</f>
        <v>GSM-0038</v>
      </c>
      <c r="B171" s="46" t="str">
        <f>Base_Articles!C171</f>
        <v>Peinture blanche(30kg)</v>
      </c>
      <c r="C171" s="46" t="str">
        <f>Base_Articles!B171</f>
        <v>GSM</v>
      </c>
      <c r="D171" s="47">
        <f>Base_Articles!K171</f>
        <v>0</v>
      </c>
      <c r="E171" s="47" t="e">
        <f>SUMIFS(#REF!,#REF!,A171)</f>
        <v>#REF!</v>
      </c>
      <c r="F171" s="47" t="e">
        <f>SUMIFS(#REF!,#REF!,A171)</f>
        <v>#REF!</v>
      </c>
      <c r="G171" s="47" t="e">
        <f t="shared" si="6"/>
        <v>#REF!</v>
      </c>
      <c r="H171" s="47">
        <f>Base_Articles!G171</f>
        <v>5</v>
      </c>
      <c r="I171" s="47">
        <f>Base_Articles!H171</f>
        <v>50</v>
      </c>
      <c r="J171" s="47">
        <f>Base_Articles!J171</f>
        <v>0</v>
      </c>
      <c r="K171" s="47" t="e">
        <f t="shared" si="7"/>
        <v>#REF!</v>
      </c>
      <c r="L171" s="46" t="e">
        <f t="shared" si="8"/>
        <v>#REF!</v>
      </c>
    </row>
    <row r="172" spans="1:12" x14ac:dyDescent="0.25">
      <c r="A172" s="48" t="str">
        <f>Base_Articles!A172</f>
        <v>GSM-0039</v>
      </c>
      <c r="B172" s="48" t="str">
        <f>Base_Articles!C172</f>
        <v>Peinture rouge(30kg)</v>
      </c>
      <c r="C172" s="48" t="str">
        <f>Base_Articles!B172</f>
        <v>GSM</v>
      </c>
      <c r="D172" s="49">
        <f>Base_Articles!K172</f>
        <v>0</v>
      </c>
      <c r="E172" s="49" t="e">
        <f>SUMIFS(#REF!,#REF!,A172)</f>
        <v>#REF!</v>
      </c>
      <c r="F172" s="49" t="e">
        <f>SUMIFS(#REF!,#REF!,A172)</f>
        <v>#REF!</v>
      </c>
      <c r="G172" s="49" t="e">
        <f t="shared" si="6"/>
        <v>#REF!</v>
      </c>
      <c r="H172" s="49">
        <f>Base_Articles!G172</f>
        <v>5</v>
      </c>
      <c r="I172" s="49">
        <f>Base_Articles!H172</f>
        <v>50</v>
      </c>
      <c r="J172" s="49">
        <f>Base_Articles!J172</f>
        <v>0</v>
      </c>
      <c r="K172" s="49" t="e">
        <f t="shared" si="7"/>
        <v>#REF!</v>
      </c>
      <c r="L172" s="48" t="e">
        <f t="shared" si="8"/>
        <v>#REF!</v>
      </c>
    </row>
    <row r="173" spans="1:12" x14ac:dyDescent="0.25">
      <c r="A173" s="46" t="str">
        <f>Base_Articles!A173</f>
        <v>GSM-0040</v>
      </c>
      <c r="B173" s="46" t="str">
        <f>Base_Articles!C173</f>
        <v>Peinture brillant jaune(4kg)</v>
      </c>
      <c r="C173" s="46" t="str">
        <f>Base_Articles!B173</f>
        <v>GSM</v>
      </c>
      <c r="D173" s="47">
        <f>Base_Articles!K173</f>
        <v>0</v>
      </c>
      <c r="E173" s="47" t="e">
        <f>SUMIFS(#REF!,#REF!,A173)</f>
        <v>#REF!</v>
      </c>
      <c r="F173" s="47" t="e">
        <f>SUMIFS(#REF!,#REF!,A173)</f>
        <v>#REF!</v>
      </c>
      <c r="G173" s="47" t="e">
        <f t="shared" si="6"/>
        <v>#REF!</v>
      </c>
      <c r="H173" s="47">
        <f>Base_Articles!G173</f>
        <v>5</v>
      </c>
      <c r="I173" s="47">
        <f>Base_Articles!H173</f>
        <v>50</v>
      </c>
      <c r="J173" s="47">
        <f>Base_Articles!J173</f>
        <v>0</v>
      </c>
      <c r="K173" s="47" t="e">
        <f t="shared" si="7"/>
        <v>#REF!</v>
      </c>
      <c r="L173" s="46" t="e">
        <f t="shared" si="8"/>
        <v>#REF!</v>
      </c>
    </row>
    <row r="174" spans="1:12" x14ac:dyDescent="0.25">
      <c r="A174" s="48" t="str">
        <f>Base_Articles!A174</f>
        <v>GSM-0041</v>
      </c>
      <c r="B174" s="48" t="str">
        <f>Base_Articles!C174</f>
        <v>Vis 100mm</v>
      </c>
      <c r="C174" s="48" t="str">
        <f>Base_Articles!B174</f>
        <v>GSM</v>
      </c>
      <c r="D174" s="49">
        <f>Base_Articles!K174</f>
        <v>0</v>
      </c>
      <c r="E174" s="49" t="e">
        <f>SUMIFS(#REF!,#REF!,A174)</f>
        <v>#REF!</v>
      </c>
      <c r="F174" s="49" t="e">
        <f>SUMIFS(#REF!,#REF!,A174)</f>
        <v>#REF!</v>
      </c>
      <c r="G174" s="49" t="e">
        <f t="shared" si="6"/>
        <v>#REF!</v>
      </c>
      <c r="H174" s="49">
        <f>Base_Articles!G174</f>
        <v>5</v>
      </c>
      <c r="I174" s="49">
        <f>Base_Articles!H174</f>
        <v>50</v>
      </c>
      <c r="J174" s="49">
        <f>Base_Articles!J174</f>
        <v>0</v>
      </c>
      <c r="K174" s="49" t="e">
        <f t="shared" si="7"/>
        <v>#REF!</v>
      </c>
      <c r="L174" s="48" t="e">
        <f t="shared" si="8"/>
        <v>#REF!</v>
      </c>
    </row>
    <row r="175" spans="1:12" x14ac:dyDescent="0.25">
      <c r="A175" s="46" t="str">
        <f>Base_Articles!A175</f>
        <v>GSM-0042</v>
      </c>
      <c r="B175" s="46" t="str">
        <f>Base_Articles!C175</f>
        <v>Plaque de signalisation pt</v>
      </c>
      <c r="C175" s="46" t="str">
        <f>Base_Articles!B175</f>
        <v>GSM</v>
      </c>
      <c r="D175" s="47">
        <f>Base_Articles!K175</f>
        <v>0</v>
      </c>
      <c r="E175" s="47" t="e">
        <f>SUMIFS(#REF!,#REF!,A175)</f>
        <v>#REF!</v>
      </c>
      <c r="F175" s="47" t="e">
        <f>SUMIFS(#REF!,#REF!,A175)</f>
        <v>#REF!</v>
      </c>
      <c r="G175" s="47" t="e">
        <f t="shared" si="6"/>
        <v>#REF!</v>
      </c>
      <c r="H175" s="47">
        <f>Base_Articles!G175</f>
        <v>5</v>
      </c>
      <c r="I175" s="47">
        <f>Base_Articles!H175</f>
        <v>50</v>
      </c>
      <c r="J175" s="47">
        <f>Base_Articles!J175</f>
        <v>0</v>
      </c>
      <c r="K175" s="47" t="e">
        <f t="shared" si="7"/>
        <v>#REF!</v>
      </c>
      <c r="L175" s="46" t="e">
        <f t="shared" si="8"/>
        <v>#REF!</v>
      </c>
    </row>
    <row r="176" spans="1:12" x14ac:dyDescent="0.25">
      <c r="A176" s="48" t="str">
        <f>Base_Articles!A176</f>
        <v>GSM-0043</v>
      </c>
      <c r="B176" s="48" t="str">
        <f>Base_Articles!C176</f>
        <v>Barette de terre 8 trous</v>
      </c>
      <c r="C176" s="48" t="str">
        <f>Base_Articles!B176</f>
        <v>GSM</v>
      </c>
      <c r="D176" s="49">
        <f>Base_Articles!K176</f>
        <v>0</v>
      </c>
      <c r="E176" s="49" t="e">
        <f>SUMIFS(#REF!,#REF!,A176)</f>
        <v>#REF!</v>
      </c>
      <c r="F176" s="49" t="e">
        <f>SUMIFS(#REF!,#REF!,A176)</f>
        <v>#REF!</v>
      </c>
      <c r="G176" s="49" t="e">
        <f t="shared" si="6"/>
        <v>#REF!</v>
      </c>
      <c r="H176" s="49">
        <f>Base_Articles!G176</f>
        <v>5</v>
      </c>
      <c r="I176" s="49">
        <f>Base_Articles!H176</f>
        <v>50</v>
      </c>
      <c r="J176" s="49">
        <f>Base_Articles!J176</f>
        <v>0</v>
      </c>
      <c r="K176" s="49" t="e">
        <f t="shared" si="7"/>
        <v>#REF!</v>
      </c>
      <c r="L176" s="48" t="e">
        <f t="shared" si="8"/>
        <v>#REF!</v>
      </c>
    </row>
    <row r="177" spans="1:12" x14ac:dyDescent="0.25">
      <c r="A177" s="46" t="str">
        <f>Base_Articles!A177</f>
        <v>GSM-0044</v>
      </c>
      <c r="B177" s="46" t="str">
        <f>Base_Articles!C177</f>
        <v>boulon 8/30</v>
      </c>
      <c r="C177" s="46" t="str">
        <f>Base_Articles!B177</f>
        <v>GSM</v>
      </c>
      <c r="D177" s="47">
        <f>Base_Articles!K177</f>
        <v>0</v>
      </c>
      <c r="E177" s="47" t="e">
        <f>SUMIFS(#REF!,#REF!,A177)</f>
        <v>#REF!</v>
      </c>
      <c r="F177" s="47" t="e">
        <f>SUMIFS(#REF!,#REF!,A177)</f>
        <v>#REF!</v>
      </c>
      <c r="G177" s="47" t="e">
        <f t="shared" si="6"/>
        <v>#REF!</v>
      </c>
      <c r="H177" s="47">
        <f>Base_Articles!G177</f>
        <v>5</v>
      </c>
      <c r="I177" s="47">
        <f>Base_Articles!H177</f>
        <v>50</v>
      </c>
      <c r="J177" s="47">
        <f>Base_Articles!J177</f>
        <v>0</v>
      </c>
      <c r="K177" s="47" t="e">
        <f t="shared" si="7"/>
        <v>#REF!</v>
      </c>
      <c r="L177" s="46" t="e">
        <f t="shared" si="8"/>
        <v>#REF!</v>
      </c>
    </row>
    <row r="178" spans="1:12" x14ac:dyDescent="0.25">
      <c r="A178" s="48" t="str">
        <f>Base_Articles!A178</f>
        <v>GSM-0045</v>
      </c>
      <c r="B178" s="48" t="str">
        <f>Base_Articles!C178</f>
        <v>boulon  M10*50</v>
      </c>
      <c r="C178" s="48" t="str">
        <f>Base_Articles!B178</f>
        <v>GSM</v>
      </c>
      <c r="D178" s="49">
        <f>Base_Articles!K178</f>
        <v>0</v>
      </c>
      <c r="E178" s="49" t="e">
        <f>SUMIFS(#REF!,#REF!,A178)</f>
        <v>#REF!</v>
      </c>
      <c r="F178" s="49" t="e">
        <f>SUMIFS(#REF!,#REF!,A178)</f>
        <v>#REF!</v>
      </c>
      <c r="G178" s="49" t="e">
        <f t="shared" si="6"/>
        <v>#REF!</v>
      </c>
      <c r="H178" s="49">
        <f>Base_Articles!G178</f>
        <v>5</v>
      </c>
      <c r="I178" s="49">
        <f>Base_Articles!H178</f>
        <v>50</v>
      </c>
      <c r="J178" s="49">
        <f>Base_Articles!J178</f>
        <v>0</v>
      </c>
      <c r="K178" s="49" t="e">
        <f t="shared" si="7"/>
        <v>#REF!</v>
      </c>
      <c r="L178" s="48" t="e">
        <f t="shared" si="8"/>
        <v>#REF!</v>
      </c>
    </row>
    <row r="179" spans="1:12" x14ac:dyDescent="0.25">
      <c r="A179" s="46" t="str">
        <f>Base_Articles!A179</f>
        <v>GSM-0046</v>
      </c>
      <c r="B179" s="46" t="str">
        <f>Base_Articles!C179</f>
        <v>boulon  M12*60</v>
      </c>
      <c r="C179" s="46" t="str">
        <f>Base_Articles!B179</f>
        <v>GSM</v>
      </c>
      <c r="D179" s="47">
        <f>Base_Articles!K179</f>
        <v>0</v>
      </c>
      <c r="E179" s="47" t="e">
        <f>SUMIFS(#REF!,#REF!,A179)</f>
        <v>#REF!</v>
      </c>
      <c r="F179" s="47" t="e">
        <f>SUMIFS(#REF!,#REF!,A179)</f>
        <v>#REF!</v>
      </c>
      <c r="G179" s="47" t="e">
        <f t="shared" si="6"/>
        <v>#REF!</v>
      </c>
      <c r="H179" s="47">
        <f>Base_Articles!G179</f>
        <v>5</v>
      </c>
      <c r="I179" s="47">
        <f>Base_Articles!H179</f>
        <v>50</v>
      </c>
      <c r="J179" s="47">
        <f>Base_Articles!J179</f>
        <v>0</v>
      </c>
      <c r="K179" s="47" t="e">
        <f t="shared" si="7"/>
        <v>#REF!</v>
      </c>
      <c r="L179" s="46" t="e">
        <f t="shared" si="8"/>
        <v>#REF!</v>
      </c>
    </row>
    <row r="180" spans="1:12" x14ac:dyDescent="0.25">
      <c r="A180" s="48" t="str">
        <f>Base_Articles!A180</f>
        <v>GSM-0047</v>
      </c>
      <c r="B180" s="48" t="str">
        <f>Base_Articles!C180</f>
        <v>TGBT Coffret</v>
      </c>
      <c r="C180" s="48" t="str">
        <f>Base_Articles!B180</f>
        <v>GSM</v>
      </c>
      <c r="D180" s="49">
        <f>Base_Articles!K180</f>
        <v>0</v>
      </c>
      <c r="E180" s="49" t="e">
        <f>SUMIFS(#REF!,#REF!,A180)</f>
        <v>#REF!</v>
      </c>
      <c r="F180" s="49" t="e">
        <f>SUMIFS(#REF!,#REF!,A180)</f>
        <v>#REF!</v>
      </c>
      <c r="G180" s="49" t="e">
        <f t="shared" si="6"/>
        <v>#REF!</v>
      </c>
      <c r="H180" s="49">
        <f>Base_Articles!G180</f>
        <v>5</v>
      </c>
      <c r="I180" s="49">
        <f>Base_Articles!H180</f>
        <v>50</v>
      </c>
      <c r="J180" s="49">
        <f>Base_Articles!J180</f>
        <v>0</v>
      </c>
      <c r="K180" s="49" t="e">
        <f t="shared" si="7"/>
        <v>#REF!</v>
      </c>
      <c r="L180" s="48" t="e">
        <f t="shared" si="8"/>
        <v>#REF!</v>
      </c>
    </row>
    <row r="181" spans="1:12" x14ac:dyDescent="0.25">
      <c r="A181" s="46" t="str">
        <f>Base_Articles!A181</f>
        <v>GSM-0048</v>
      </c>
      <c r="B181" s="46" t="str">
        <f>Base_Articles!C181</f>
        <v>Abri MTN</v>
      </c>
      <c r="C181" s="46" t="str">
        <f>Base_Articles!B181</f>
        <v>GSM</v>
      </c>
      <c r="D181" s="47">
        <f>Base_Articles!K181</f>
        <v>0</v>
      </c>
      <c r="E181" s="47" t="e">
        <f>SUMIFS(#REF!,#REF!,A181)</f>
        <v>#REF!</v>
      </c>
      <c r="F181" s="47" t="e">
        <f>SUMIFS(#REF!,#REF!,A181)</f>
        <v>#REF!</v>
      </c>
      <c r="G181" s="47" t="e">
        <f t="shared" si="6"/>
        <v>#REF!</v>
      </c>
      <c r="H181" s="47">
        <f>Base_Articles!G181</f>
        <v>5</v>
      </c>
      <c r="I181" s="47">
        <f>Base_Articles!H181</f>
        <v>50</v>
      </c>
      <c r="J181" s="47">
        <f>Base_Articles!J181</f>
        <v>0</v>
      </c>
      <c r="K181" s="47" t="e">
        <f t="shared" si="7"/>
        <v>#REF!</v>
      </c>
      <c r="L181" s="46" t="e">
        <f t="shared" si="8"/>
        <v>#REF!</v>
      </c>
    </row>
    <row r="182" spans="1:12" x14ac:dyDescent="0.25">
      <c r="A182" s="48" t="str">
        <f>Base_Articles!A182</f>
        <v>GSM-0049</v>
      </c>
      <c r="B182" s="48" t="str">
        <f>Base_Articles!C182</f>
        <v>Tube orange (50m)</v>
      </c>
      <c r="C182" s="48" t="str">
        <f>Base_Articles!B182</f>
        <v>GSM</v>
      </c>
      <c r="D182" s="49">
        <f>Base_Articles!K182</f>
        <v>0</v>
      </c>
      <c r="E182" s="49" t="e">
        <f>SUMIFS(#REF!,#REF!,A182)</f>
        <v>#REF!</v>
      </c>
      <c r="F182" s="49" t="e">
        <f>SUMIFS(#REF!,#REF!,A182)</f>
        <v>#REF!</v>
      </c>
      <c r="G182" s="49" t="e">
        <f t="shared" si="6"/>
        <v>#REF!</v>
      </c>
      <c r="H182" s="49">
        <f>Base_Articles!G182</f>
        <v>5</v>
      </c>
      <c r="I182" s="49">
        <f>Base_Articles!H182</f>
        <v>50</v>
      </c>
      <c r="J182" s="49">
        <f>Base_Articles!J182</f>
        <v>0</v>
      </c>
      <c r="K182" s="49" t="e">
        <f t="shared" si="7"/>
        <v>#REF!</v>
      </c>
      <c r="L182" s="48" t="e">
        <f t="shared" si="8"/>
        <v>#REF!</v>
      </c>
    </row>
    <row r="183" spans="1:12" x14ac:dyDescent="0.25">
      <c r="A183" s="46" t="str">
        <f>Base_Articles!A183</f>
        <v>GSM-0050</v>
      </c>
      <c r="B183" s="46" t="str">
        <f>Base_Articles!C183</f>
        <v>Câble alarme</v>
      </c>
      <c r="C183" s="46" t="str">
        <f>Base_Articles!B183</f>
        <v>GSM</v>
      </c>
      <c r="D183" s="47">
        <f>Base_Articles!K183</f>
        <v>12</v>
      </c>
      <c r="E183" s="47" t="e">
        <f>SUMIFS(#REF!,#REF!,A183)</f>
        <v>#REF!</v>
      </c>
      <c r="F183" s="47" t="e">
        <f>SUMIFS(#REF!,#REF!,A183)</f>
        <v>#REF!</v>
      </c>
      <c r="G183" s="47" t="e">
        <f t="shared" si="6"/>
        <v>#REF!</v>
      </c>
      <c r="H183" s="47">
        <f>Base_Articles!G183</f>
        <v>5</v>
      </c>
      <c r="I183" s="47">
        <f>Base_Articles!H183</f>
        <v>50</v>
      </c>
      <c r="J183" s="47">
        <f>Base_Articles!J183</f>
        <v>0</v>
      </c>
      <c r="K183" s="47" t="e">
        <f t="shared" si="7"/>
        <v>#REF!</v>
      </c>
      <c r="L183" s="46" t="e">
        <f t="shared" si="8"/>
        <v>#REF!</v>
      </c>
    </row>
    <row r="184" spans="1:12" x14ac:dyDescent="0.25">
      <c r="A184" s="48" t="str">
        <f>Base_Articles!A184</f>
        <v>GSM-0051</v>
      </c>
      <c r="B184" s="48" t="str">
        <f>Base_Articles!C184</f>
        <v>Scotch noir</v>
      </c>
      <c r="C184" s="48" t="str">
        <f>Base_Articles!B184</f>
        <v>GSM</v>
      </c>
      <c r="D184" s="49">
        <f>Base_Articles!K184</f>
        <v>0</v>
      </c>
      <c r="E184" s="49" t="e">
        <f>SUMIFS(#REF!,#REF!,A184)</f>
        <v>#REF!</v>
      </c>
      <c r="F184" s="49" t="e">
        <f>SUMIFS(#REF!,#REF!,A184)</f>
        <v>#REF!</v>
      </c>
      <c r="G184" s="49" t="e">
        <f t="shared" si="6"/>
        <v>#REF!</v>
      </c>
      <c r="H184" s="49">
        <f>Base_Articles!G184</f>
        <v>5</v>
      </c>
      <c r="I184" s="49">
        <f>Base_Articles!H184</f>
        <v>50</v>
      </c>
      <c r="J184" s="49">
        <f>Base_Articles!J184</f>
        <v>0</v>
      </c>
      <c r="K184" s="49" t="e">
        <f t="shared" si="7"/>
        <v>#REF!</v>
      </c>
      <c r="L184" s="48" t="e">
        <f t="shared" si="8"/>
        <v>#REF!</v>
      </c>
    </row>
    <row r="185" spans="1:12" x14ac:dyDescent="0.25">
      <c r="A185" s="46" t="str">
        <f>Base_Articles!A185</f>
        <v>GSM-0052</v>
      </c>
      <c r="B185" s="46" t="str">
        <f>Base_Articles!C185</f>
        <v>Scotch jaune/noir</v>
      </c>
      <c r="C185" s="46" t="str">
        <f>Base_Articles!B185</f>
        <v>GSM</v>
      </c>
      <c r="D185" s="47">
        <f>Base_Articles!K185</f>
        <v>0</v>
      </c>
      <c r="E185" s="47" t="e">
        <f>SUMIFS(#REF!,#REF!,A185)</f>
        <v>#REF!</v>
      </c>
      <c r="F185" s="47" t="e">
        <f>SUMIFS(#REF!,#REF!,A185)</f>
        <v>#REF!</v>
      </c>
      <c r="G185" s="47" t="e">
        <f t="shared" si="6"/>
        <v>#REF!</v>
      </c>
      <c r="H185" s="47">
        <f>Base_Articles!G185</f>
        <v>5</v>
      </c>
      <c r="I185" s="47">
        <f>Base_Articles!H185</f>
        <v>50</v>
      </c>
      <c r="J185" s="47">
        <f>Base_Articles!J185</f>
        <v>0</v>
      </c>
      <c r="K185" s="47" t="e">
        <f t="shared" si="7"/>
        <v>#REF!</v>
      </c>
      <c r="L185" s="46" t="e">
        <f t="shared" si="8"/>
        <v>#REF!</v>
      </c>
    </row>
    <row r="186" spans="1:12" x14ac:dyDescent="0.25">
      <c r="A186" s="48" t="str">
        <f>Base_Articles!A186</f>
        <v>GSM-0053</v>
      </c>
      <c r="B186" s="48" t="str">
        <f>Base_Articles!C186</f>
        <v>Cuivre nu 29m2</v>
      </c>
      <c r="C186" s="48" t="str">
        <f>Base_Articles!B186</f>
        <v>GSM</v>
      </c>
      <c r="D186" s="49">
        <f>Base_Articles!K186</f>
        <v>0</v>
      </c>
      <c r="E186" s="49" t="e">
        <f>SUMIFS(#REF!,#REF!,A186)</f>
        <v>#REF!</v>
      </c>
      <c r="F186" s="49" t="e">
        <f>SUMIFS(#REF!,#REF!,A186)</f>
        <v>#REF!</v>
      </c>
      <c r="G186" s="49" t="e">
        <f t="shared" si="6"/>
        <v>#REF!</v>
      </c>
      <c r="H186" s="49">
        <f>Base_Articles!G186</f>
        <v>5</v>
      </c>
      <c r="I186" s="49">
        <f>Base_Articles!H186</f>
        <v>50</v>
      </c>
      <c r="J186" s="49">
        <f>Base_Articles!J186</f>
        <v>0</v>
      </c>
      <c r="K186" s="49" t="e">
        <f t="shared" si="7"/>
        <v>#REF!</v>
      </c>
      <c r="L186" s="48" t="e">
        <f t="shared" si="8"/>
        <v>#REF!</v>
      </c>
    </row>
    <row r="187" spans="1:12" x14ac:dyDescent="0.25">
      <c r="A187" s="46" t="str">
        <f>Base_Articles!A187</f>
        <v>GSM-0054</v>
      </c>
      <c r="B187" s="46" t="str">
        <f>Base_Articles!C187</f>
        <v>Regard de visite</v>
      </c>
      <c r="C187" s="46" t="str">
        <f>Base_Articles!B187</f>
        <v>GSM</v>
      </c>
      <c r="D187" s="47">
        <f>Base_Articles!K187</f>
        <v>0</v>
      </c>
      <c r="E187" s="47" t="e">
        <f>SUMIFS(#REF!,#REF!,A187)</f>
        <v>#REF!</v>
      </c>
      <c r="F187" s="47" t="e">
        <f>SUMIFS(#REF!,#REF!,A187)</f>
        <v>#REF!</v>
      </c>
      <c r="G187" s="47" t="e">
        <f t="shared" si="6"/>
        <v>#REF!</v>
      </c>
      <c r="H187" s="47">
        <f>Base_Articles!G187</f>
        <v>5</v>
      </c>
      <c r="I187" s="47">
        <f>Base_Articles!H187</f>
        <v>50</v>
      </c>
      <c r="J187" s="47">
        <f>Base_Articles!J187</f>
        <v>0</v>
      </c>
      <c r="K187" s="47" t="e">
        <f t="shared" si="7"/>
        <v>#REF!</v>
      </c>
      <c r="L187" s="46" t="e">
        <f t="shared" si="8"/>
        <v>#REF!</v>
      </c>
    </row>
    <row r="188" spans="1:12" x14ac:dyDescent="0.25">
      <c r="A188" s="48" t="str">
        <f>Base_Articles!A188</f>
        <v>GSM-0055</v>
      </c>
      <c r="B188" s="48" t="str">
        <f>Base_Articles!C188</f>
        <v>Support balise</v>
      </c>
      <c r="C188" s="48" t="str">
        <f>Base_Articles!B188</f>
        <v>GSM</v>
      </c>
      <c r="D188" s="49">
        <f>Base_Articles!K188</f>
        <v>0</v>
      </c>
      <c r="E188" s="49" t="e">
        <f>SUMIFS(#REF!,#REF!,A188)</f>
        <v>#REF!</v>
      </c>
      <c r="F188" s="49" t="e">
        <f>SUMIFS(#REF!,#REF!,A188)</f>
        <v>#REF!</v>
      </c>
      <c r="G188" s="49" t="e">
        <f t="shared" si="6"/>
        <v>#REF!</v>
      </c>
      <c r="H188" s="49">
        <f>Base_Articles!G188</f>
        <v>5</v>
      </c>
      <c r="I188" s="49">
        <f>Base_Articles!H188</f>
        <v>50</v>
      </c>
      <c r="J188" s="49">
        <f>Base_Articles!J188</f>
        <v>0</v>
      </c>
      <c r="K188" s="49" t="e">
        <f t="shared" si="7"/>
        <v>#REF!</v>
      </c>
      <c r="L188" s="48" t="e">
        <f t="shared" si="8"/>
        <v>#REF!</v>
      </c>
    </row>
    <row r="189" spans="1:12" x14ac:dyDescent="0.25">
      <c r="A189" s="46" t="str">
        <f>Base_Articles!A189</f>
        <v>GSM-0056</v>
      </c>
      <c r="B189" s="46" t="str">
        <f>Base_Articles!C189</f>
        <v>Feuille de tole (2m)</v>
      </c>
      <c r="C189" s="46" t="str">
        <f>Base_Articles!B189</f>
        <v>GSM</v>
      </c>
      <c r="D189" s="47">
        <f>Base_Articles!K189</f>
        <v>0</v>
      </c>
      <c r="E189" s="47" t="e">
        <f>SUMIFS(#REF!,#REF!,A189)</f>
        <v>#REF!</v>
      </c>
      <c r="F189" s="47" t="e">
        <f>SUMIFS(#REF!,#REF!,A189)</f>
        <v>#REF!</v>
      </c>
      <c r="G189" s="47" t="e">
        <f t="shared" si="6"/>
        <v>#REF!</v>
      </c>
      <c r="H189" s="47">
        <f>Base_Articles!G189</f>
        <v>5</v>
      </c>
      <c r="I189" s="47">
        <f>Base_Articles!H189</f>
        <v>50</v>
      </c>
      <c r="J189" s="47">
        <f>Base_Articles!J189</f>
        <v>0</v>
      </c>
      <c r="K189" s="47" t="e">
        <f t="shared" si="7"/>
        <v>#REF!</v>
      </c>
      <c r="L189" s="46" t="e">
        <f t="shared" si="8"/>
        <v>#REF!</v>
      </c>
    </row>
    <row r="190" spans="1:12" x14ac:dyDescent="0.25">
      <c r="A190" s="48" t="str">
        <f>Base_Articles!A190</f>
        <v>GSM-0057</v>
      </c>
      <c r="B190" s="48" t="str">
        <f>Base_Articles!C190</f>
        <v>Boulon 24</v>
      </c>
      <c r="C190" s="48" t="str">
        <f>Base_Articles!B190</f>
        <v>GSM</v>
      </c>
      <c r="D190" s="49">
        <f>Base_Articles!K190</f>
        <v>0</v>
      </c>
      <c r="E190" s="49" t="e">
        <f>SUMIFS(#REF!,#REF!,A190)</f>
        <v>#REF!</v>
      </c>
      <c r="F190" s="49" t="e">
        <f>SUMIFS(#REF!,#REF!,A190)</f>
        <v>#REF!</v>
      </c>
      <c r="G190" s="49" t="e">
        <f t="shared" si="6"/>
        <v>#REF!</v>
      </c>
      <c r="H190" s="49">
        <f>Base_Articles!G190</f>
        <v>5</v>
      </c>
      <c r="I190" s="49">
        <f>Base_Articles!H190</f>
        <v>50</v>
      </c>
      <c r="J190" s="49">
        <f>Base_Articles!J190</f>
        <v>0</v>
      </c>
      <c r="K190" s="49" t="e">
        <f t="shared" si="7"/>
        <v>#REF!</v>
      </c>
      <c r="L190" s="48" t="e">
        <f t="shared" si="8"/>
        <v>#REF!</v>
      </c>
    </row>
    <row r="191" spans="1:12" x14ac:dyDescent="0.25">
      <c r="A191" s="46" t="str">
        <f>Base_Articles!A191</f>
        <v>GSM-0058</v>
      </c>
      <c r="B191" s="46" t="str">
        <f>Base_Articles!C191</f>
        <v>Vis autoforeuse petit</v>
      </c>
      <c r="C191" s="46" t="str">
        <f>Base_Articles!B191</f>
        <v>GSM</v>
      </c>
      <c r="D191" s="47">
        <f>Base_Articles!K191</f>
        <v>3600</v>
      </c>
      <c r="E191" s="47" t="e">
        <f>SUMIFS(#REF!,#REF!,A191)</f>
        <v>#REF!</v>
      </c>
      <c r="F191" s="47" t="e">
        <f>SUMIFS(#REF!,#REF!,A191)</f>
        <v>#REF!</v>
      </c>
      <c r="G191" s="47" t="e">
        <f t="shared" si="6"/>
        <v>#REF!</v>
      </c>
      <c r="H191" s="47">
        <f>Base_Articles!G191</f>
        <v>720</v>
      </c>
      <c r="I191" s="47">
        <f>Base_Articles!H191</f>
        <v>5400</v>
      </c>
      <c r="J191" s="47">
        <f>Base_Articles!J191</f>
        <v>0</v>
      </c>
      <c r="K191" s="47" t="e">
        <f t="shared" si="7"/>
        <v>#REF!</v>
      </c>
      <c r="L191" s="46" t="e">
        <f t="shared" si="8"/>
        <v>#REF!</v>
      </c>
    </row>
    <row r="192" spans="1:12" x14ac:dyDescent="0.25">
      <c r="A192" s="48" t="str">
        <f>Base_Articles!A192</f>
        <v>GSM-0059</v>
      </c>
      <c r="B192" s="48" t="str">
        <f>Base_Articles!C192</f>
        <v>Vis autoforeuse grand</v>
      </c>
      <c r="C192" s="48" t="str">
        <f>Base_Articles!B192</f>
        <v>GSM</v>
      </c>
      <c r="D192" s="49">
        <f>Base_Articles!K192</f>
        <v>0</v>
      </c>
      <c r="E192" s="49" t="e">
        <f>SUMIFS(#REF!,#REF!,A192)</f>
        <v>#REF!</v>
      </c>
      <c r="F192" s="49" t="e">
        <f>SUMIFS(#REF!,#REF!,A192)</f>
        <v>#REF!</v>
      </c>
      <c r="G192" s="49" t="e">
        <f t="shared" si="6"/>
        <v>#REF!</v>
      </c>
      <c r="H192" s="49">
        <f>Base_Articles!G192</f>
        <v>5</v>
      </c>
      <c r="I192" s="49">
        <f>Base_Articles!H192</f>
        <v>50</v>
      </c>
      <c r="J192" s="49">
        <f>Base_Articles!J192</f>
        <v>0</v>
      </c>
      <c r="K192" s="49" t="e">
        <f t="shared" si="7"/>
        <v>#REF!</v>
      </c>
      <c r="L192" s="48" t="e">
        <f t="shared" si="8"/>
        <v>#REF!</v>
      </c>
    </row>
    <row r="193" spans="1:12" x14ac:dyDescent="0.25">
      <c r="A193" s="46" t="str">
        <f>Base_Articles!A193</f>
        <v>GSM-0060</v>
      </c>
      <c r="B193" s="46" t="str">
        <f>Base_Articles!C193</f>
        <v>Interrupteur double</v>
      </c>
      <c r="C193" s="46" t="str">
        <f>Base_Articles!B193</f>
        <v>GSM</v>
      </c>
      <c r="D193" s="47">
        <f>Base_Articles!K193</f>
        <v>0</v>
      </c>
      <c r="E193" s="47" t="e">
        <f>SUMIFS(#REF!,#REF!,A193)</f>
        <v>#REF!</v>
      </c>
      <c r="F193" s="47" t="e">
        <f>SUMIFS(#REF!,#REF!,A193)</f>
        <v>#REF!</v>
      </c>
      <c r="G193" s="47" t="e">
        <f t="shared" si="6"/>
        <v>#REF!</v>
      </c>
      <c r="H193" s="47">
        <f>Base_Articles!G193</f>
        <v>5</v>
      </c>
      <c r="I193" s="47">
        <f>Base_Articles!H193</f>
        <v>50</v>
      </c>
      <c r="J193" s="47">
        <f>Base_Articles!J193</f>
        <v>0</v>
      </c>
      <c r="K193" s="47" t="e">
        <f t="shared" si="7"/>
        <v>#REF!</v>
      </c>
      <c r="L193" s="46" t="e">
        <f t="shared" si="8"/>
        <v>#REF!</v>
      </c>
    </row>
    <row r="194" spans="1:12" x14ac:dyDescent="0.25">
      <c r="A194" s="48" t="str">
        <f>Base_Articles!A194</f>
        <v>GSM-0061</v>
      </c>
      <c r="B194" s="48" t="str">
        <f>Base_Articles!C194</f>
        <v>Peinture bleu (4kg)</v>
      </c>
      <c r="C194" s="48" t="str">
        <f>Base_Articles!B194</f>
        <v>GSM</v>
      </c>
      <c r="D194" s="49">
        <f>Base_Articles!K194</f>
        <v>0</v>
      </c>
      <c r="E194" s="49" t="e">
        <f>SUMIFS(#REF!,#REF!,A194)</f>
        <v>#REF!</v>
      </c>
      <c r="F194" s="49" t="e">
        <f>SUMIFS(#REF!,#REF!,A194)</f>
        <v>#REF!</v>
      </c>
      <c r="G194" s="49" t="e">
        <f t="shared" si="6"/>
        <v>#REF!</v>
      </c>
      <c r="H194" s="49">
        <f>Base_Articles!G194</f>
        <v>5</v>
      </c>
      <c r="I194" s="49">
        <f>Base_Articles!H194</f>
        <v>50</v>
      </c>
      <c r="J194" s="49">
        <f>Base_Articles!J194</f>
        <v>0</v>
      </c>
      <c r="K194" s="49" t="e">
        <f t="shared" si="7"/>
        <v>#REF!</v>
      </c>
      <c r="L194" s="48" t="e">
        <f t="shared" si="8"/>
        <v>#REF!</v>
      </c>
    </row>
    <row r="195" spans="1:12" x14ac:dyDescent="0.25">
      <c r="A195" s="46" t="str">
        <f>Base_Articles!A195</f>
        <v>GSM-0062</v>
      </c>
      <c r="B195" s="46" t="str">
        <f>Base_Articles!C195</f>
        <v>Tank</v>
      </c>
      <c r="C195" s="46" t="str">
        <f>Base_Articles!B195</f>
        <v>GSM</v>
      </c>
      <c r="D195" s="47">
        <f>Base_Articles!K195</f>
        <v>0</v>
      </c>
      <c r="E195" s="47" t="e">
        <f>SUMIFS(#REF!,#REF!,A195)</f>
        <v>#REF!</v>
      </c>
      <c r="F195" s="47" t="e">
        <f>SUMIFS(#REF!,#REF!,A195)</f>
        <v>#REF!</v>
      </c>
      <c r="G195" s="47" t="e">
        <f t="shared" si="6"/>
        <v>#REF!</v>
      </c>
      <c r="H195" s="47">
        <f>Base_Articles!G195</f>
        <v>5</v>
      </c>
      <c r="I195" s="47">
        <f>Base_Articles!H195</f>
        <v>50</v>
      </c>
      <c r="J195" s="47">
        <f>Base_Articles!J195</f>
        <v>0</v>
      </c>
      <c r="K195" s="47" t="e">
        <f t="shared" si="7"/>
        <v>#REF!</v>
      </c>
      <c r="L195" s="46" t="e">
        <f t="shared" si="8"/>
        <v>#REF!</v>
      </c>
    </row>
    <row r="196" spans="1:12" x14ac:dyDescent="0.25">
      <c r="A196" s="48" t="str">
        <f>Base_Articles!A196</f>
        <v>GSM-0063</v>
      </c>
      <c r="B196" s="48" t="str">
        <f>Base_Articles!C196</f>
        <v>Ligne de vie (32m)</v>
      </c>
      <c r="C196" s="48" t="str">
        <f>Base_Articles!B196</f>
        <v>GSM</v>
      </c>
      <c r="D196" s="49">
        <f>Base_Articles!K196</f>
        <v>0</v>
      </c>
      <c r="E196" s="49" t="e">
        <f>SUMIFS(#REF!,#REF!,A196)</f>
        <v>#REF!</v>
      </c>
      <c r="F196" s="49" t="e">
        <f>SUMIFS(#REF!,#REF!,A196)</f>
        <v>#REF!</v>
      </c>
      <c r="G196" s="49" t="e">
        <f t="shared" si="6"/>
        <v>#REF!</v>
      </c>
      <c r="H196" s="49">
        <f>Base_Articles!G196</f>
        <v>5</v>
      </c>
      <c r="I196" s="49">
        <f>Base_Articles!H196</f>
        <v>50</v>
      </c>
      <c r="J196" s="49">
        <f>Base_Articles!J196</f>
        <v>0</v>
      </c>
      <c r="K196" s="49" t="e">
        <f t="shared" si="7"/>
        <v>#REF!</v>
      </c>
      <c r="L196" s="48" t="e">
        <f t="shared" si="8"/>
        <v>#REF!</v>
      </c>
    </row>
    <row r="197" spans="1:12" x14ac:dyDescent="0.25">
      <c r="A197" s="46" t="str">
        <f>Base_Articles!A197</f>
        <v>GSM-0064</v>
      </c>
      <c r="B197" s="46" t="str">
        <f>Base_Articles!C197</f>
        <v>Ligne de vie (18m)</v>
      </c>
      <c r="C197" s="46" t="str">
        <f>Base_Articles!B197</f>
        <v>GSM</v>
      </c>
      <c r="D197" s="47">
        <f>Base_Articles!K197</f>
        <v>0</v>
      </c>
      <c r="E197" s="47" t="e">
        <f>SUMIFS(#REF!,#REF!,A197)</f>
        <v>#REF!</v>
      </c>
      <c r="F197" s="47" t="e">
        <f>SUMIFS(#REF!,#REF!,A197)</f>
        <v>#REF!</v>
      </c>
      <c r="G197" s="47" t="e">
        <f t="shared" ref="G197:G260" si="9">D197+E197-F197</f>
        <v>#REF!</v>
      </c>
      <c r="H197" s="47">
        <f>Base_Articles!G197</f>
        <v>5</v>
      </c>
      <c r="I197" s="47">
        <f>Base_Articles!H197</f>
        <v>50</v>
      </c>
      <c r="J197" s="47">
        <f>Base_Articles!J197</f>
        <v>0</v>
      </c>
      <c r="K197" s="47" t="e">
        <f t="shared" ref="K197:K260" si="10">G197*J197</f>
        <v>#REF!</v>
      </c>
      <c r="L197" s="46" t="e">
        <f t="shared" ref="L197:L218" si="11">IF(G197&lt;=0,"RUPTURE",IF(G197&lt;=H197,"CRITIQUE",IF(G197&gt;I197,"SURSTOCK","DISPONIBLE")))</f>
        <v>#REF!</v>
      </c>
    </row>
    <row r="198" spans="1:12" x14ac:dyDescent="0.25">
      <c r="A198" s="48" t="str">
        <f>Base_Articles!A198</f>
        <v>GSM-0065</v>
      </c>
      <c r="B198" s="48" t="str">
        <f>Base_Articles!C198</f>
        <v>Groupe electrogène FG WILSON 22 KVA</v>
      </c>
      <c r="C198" s="48" t="str">
        <f>Base_Articles!B198</f>
        <v>GSM</v>
      </c>
      <c r="D198" s="49">
        <f>Base_Articles!K198</f>
        <v>0</v>
      </c>
      <c r="E198" s="49" t="e">
        <f>SUMIFS(#REF!,#REF!,A198)</f>
        <v>#REF!</v>
      </c>
      <c r="F198" s="49" t="e">
        <f>SUMIFS(#REF!,#REF!,A198)</f>
        <v>#REF!</v>
      </c>
      <c r="G198" s="49" t="e">
        <f t="shared" si="9"/>
        <v>#REF!</v>
      </c>
      <c r="H198" s="49">
        <f>Base_Articles!G198</f>
        <v>5</v>
      </c>
      <c r="I198" s="49">
        <f>Base_Articles!H198</f>
        <v>50</v>
      </c>
      <c r="J198" s="49">
        <f>Base_Articles!J198</f>
        <v>0</v>
      </c>
      <c r="K198" s="49" t="e">
        <f t="shared" si="10"/>
        <v>#REF!</v>
      </c>
      <c r="L198" s="48" t="e">
        <f t="shared" si="11"/>
        <v>#REF!</v>
      </c>
    </row>
    <row r="199" spans="1:12" x14ac:dyDescent="0.25">
      <c r="A199" s="46" t="str">
        <f>Base_Articles!A199</f>
        <v>GSM-0066</v>
      </c>
      <c r="B199" s="46" t="str">
        <f>Base_Articles!C199</f>
        <v>Chargeur MDR-60-12''</v>
      </c>
      <c r="C199" s="46" t="str">
        <f>Base_Articles!B199</f>
        <v>GSM</v>
      </c>
      <c r="D199" s="47">
        <f>Base_Articles!K199</f>
        <v>0</v>
      </c>
      <c r="E199" s="47" t="e">
        <f>SUMIFS(#REF!,#REF!,A199)</f>
        <v>#REF!</v>
      </c>
      <c r="F199" s="47" t="e">
        <f>SUMIFS(#REF!,#REF!,A199)</f>
        <v>#REF!</v>
      </c>
      <c r="G199" s="47" t="e">
        <f t="shared" si="9"/>
        <v>#REF!</v>
      </c>
      <c r="H199" s="47">
        <f>Base_Articles!G199</f>
        <v>5</v>
      </c>
      <c r="I199" s="47">
        <f>Base_Articles!H199</f>
        <v>50</v>
      </c>
      <c r="J199" s="47">
        <f>Base_Articles!J199</f>
        <v>0</v>
      </c>
      <c r="K199" s="47" t="e">
        <f t="shared" si="10"/>
        <v>#REF!</v>
      </c>
      <c r="L199" s="46" t="e">
        <f t="shared" si="11"/>
        <v>#REF!</v>
      </c>
    </row>
    <row r="200" spans="1:12" x14ac:dyDescent="0.25">
      <c r="A200" s="48" t="str">
        <f>Base_Articles!A200</f>
        <v>BLR-0001</v>
      </c>
      <c r="B200" s="48" t="str">
        <f>Base_Articles!C200</f>
        <v>Mani moyen</v>
      </c>
      <c r="C200" s="48" t="str">
        <f>Base_Articles!B200</f>
        <v>BLR</v>
      </c>
      <c r="D200" s="49">
        <f>Base_Articles!K200</f>
        <v>0</v>
      </c>
      <c r="E200" s="49" t="e">
        <f>SUMIFS(#REF!,#REF!,A200)</f>
        <v>#REF!</v>
      </c>
      <c r="F200" s="49" t="e">
        <f>SUMIFS(#REF!,#REF!,A200)</f>
        <v>#REF!</v>
      </c>
      <c r="G200" s="49" t="e">
        <f t="shared" si="9"/>
        <v>#REF!</v>
      </c>
      <c r="H200" s="49">
        <f>Base_Articles!G200</f>
        <v>5</v>
      </c>
      <c r="I200" s="49">
        <f>Base_Articles!H200</f>
        <v>50</v>
      </c>
      <c r="J200" s="49">
        <f>Base_Articles!J200</f>
        <v>0</v>
      </c>
      <c r="K200" s="49" t="e">
        <f t="shared" si="10"/>
        <v>#REF!</v>
      </c>
      <c r="L200" s="48" t="e">
        <f t="shared" si="11"/>
        <v>#REF!</v>
      </c>
    </row>
    <row r="201" spans="1:12" x14ac:dyDescent="0.25">
      <c r="A201" s="46" t="str">
        <f>Base_Articles!A201</f>
        <v>BLR-0002</v>
      </c>
      <c r="B201" s="46" t="str">
        <f>Base_Articles!C201</f>
        <v>Serre câble petit</v>
      </c>
      <c r="C201" s="46" t="str">
        <f>Base_Articles!B201</f>
        <v>BLR</v>
      </c>
      <c r="D201" s="47">
        <f>Base_Articles!K201</f>
        <v>0</v>
      </c>
      <c r="E201" s="47" t="e">
        <f>SUMIFS(#REF!,#REF!,A201)</f>
        <v>#REF!</v>
      </c>
      <c r="F201" s="47" t="e">
        <f>SUMIFS(#REF!,#REF!,A201)</f>
        <v>#REF!</v>
      </c>
      <c r="G201" s="47" t="e">
        <f t="shared" si="9"/>
        <v>#REF!</v>
      </c>
      <c r="H201" s="47">
        <f>Base_Articles!G201</f>
        <v>5</v>
      </c>
      <c r="I201" s="47">
        <f>Base_Articles!H201</f>
        <v>50</v>
      </c>
      <c r="J201" s="47">
        <f>Base_Articles!J201</f>
        <v>0</v>
      </c>
      <c r="K201" s="47" t="e">
        <f t="shared" si="10"/>
        <v>#REF!</v>
      </c>
      <c r="L201" s="46" t="e">
        <f t="shared" si="11"/>
        <v>#REF!</v>
      </c>
    </row>
    <row r="202" spans="1:12" x14ac:dyDescent="0.25">
      <c r="A202" s="48" t="str">
        <f>Base_Articles!A202</f>
        <v>BLR-0003</v>
      </c>
      <c r="B202" s="48" t="str">
        <f>Base_Articles!C202</f>
        <v>Serre câble N°19</v>
      </c>
      <c r="C202" s="48" t="str">
        <f>Base_Articles!B202</f>
        <v>BLR</v>
      </c>
      <c r="D202" s="49">
        <f>Base_Articles!K202</f>
        <v>151</v>
      </c>
      <c r="E202" s="49" t="e">
        <f>SUMIFS(#REF!,#REF!,A202)</f>
        <v>#REF!</v>
      </c>
      <c r="F202" s="49" t="e">
        <f>SUMIFS(#REF!,#REF!,A202)</f>
        <v>#REF!</v>
      </c>
      <c r="G202" s="49" t="e">
        <f t="shared" si="9"/>
        <v>#REF!</v>
      </c>
      <c r="H202" s="49">
        <f>Base_Articles!G202</f>
        <v>30</v>
      </c>
      <c r="I202" s="49">
        <f>Base_Articles!H202</f>
        <v>226</v>
      </c>
      <c r="J202" s="49">
        <f>Base_Articles!J202</f>
        <v>0</v>
      </c>
      <c r="K202" s="49" t="e">
        <f t="shared" si="10"/>
        <v>#REF!</v>
      </c>
      <c r="L202" s="48" t="e">
        <f t="shared" si="11"/>
        <v>#REF!</v>
      </c>
    </row>
    <row r="203" spans="1:12" x14ac:dyDescent="0.25">
      <c r="A203" s="46" t="str">
        <f>Base_Articles!A203</f>
        <v>BLR-0004</v>
      </c>
      <c r="B203" s="46" t="str">
        <f>Base_Articles!C203</f>
        <v>Mani grand</v>
      </c>
      <c r="C203" s="46" t="str">
        <f>Base_Articles!B203</f>
        <v>BLR</v>
      </c>
      <c r="D203" s="47">
        <f>Base_Articles!K203</f>
        <v>0</v>
      </c>
      <c r="E203" s="47" t="e">
        <f>SUMIFS(#REF!,#REF!,A203)</f>
        <v>#REF!</v>
      </c>
      <c r="F203" s="47" t="e">
        <f>SUMIFS(#REF!,#REF!,A203)</f>
        <v>#REF!</v>
      </c>
      <c r="G203" s="47" t="e">
        <f t="shared" si="9"/>
        <v>#REF!</v>
      </c>
      <c r="H203" s="47">
        <f>Base_Articles!G203</f>
        <v>5</v>
      </c>
      <c r="I203" s="47">
        <f>Base_Articles!H203</f>
        <v>50</v>
      </c>
      <c r="J203" s="47">
        <f>Base_Articles!J203</f>
        <v>0</v>
      </c>
      <c r="K203" s="47" t="e">
        <f t="shared" si="10"/>
        <v>#REF!</v>
      </c>
      <c r="L203" s="46" t="e">
        <f t="shared" si="11"/>
        <v>#REF!</v>
      </c>
    </row>
    <row r="204" spans="1:12" x14ac:dyDescent="0.25">
      <c r="A204" s="48" t="str">
        <f>Base_Articles!A204</f>
        <v>BLR-0005</v>
      </c>
      <c r="B204" s="48" t="str">
        <f>Base_Articles!C204</f>
        <v>Hauban</v>
      </c>
      <c r="C204" s="48" t="str">
        <f>Base_Articles!B204</f>
        <v>BLR</v>
      </c>
      <c r="D204" s="49">
        <f>Base_Articles!K204</f>
        <v>0</v>
      </c>
      <c r="E204" s="49" t="e">
        <f>SUMIFS(#REF!,#REF!,A204)</f>
        <v>#REF!</v>
      </c>
      <c r="F204" s="49" t="e">
        <f>SUMIFS(#REF!,#REF!,A204)</f>
        <v>#REF!</v>
      </c>
      <c r="G204" s="49" t="e">
        <f t="shared" si="9"/>
        <v>#REF!</v>
      </c>
      <c r="H204" s="49">
        <f>Base_Articles!G204</f>
        <v>5</v>
      </c>
      <c r="I204" s="49">
        <f>Base_Articles!H204</f>
        <v>50</v>
      </c>
      <c r="J204" s="49">
        <f>Base_Articles!J204</f>
        <v>0</v>
      </c>
      <c r="K204" s="49" t="e">
        <f t="shared" si="10"/>
        <v>#REF!</v>
      </c>
      <c r="L204" s="48" t="e">
        <f t="shared" si="11"/>
        <v>#REF!</v>
      </c>
    </row>
    <row r="205" spans="1:12" x14ac:dyDescent="0.25">
      <c r="A205" s="46" t="str">
        <f>Base_Articles!A205</f>
        <v>BLR-0006</v>
      </c>
      <c r="B205" s="46" t="str">
        <f>Base_Articles!C205</f>
        <v>Câble informatique 500m</v>
      </c>
      <c r="C205" s="46" t="str">
        <f>Base_Articles!B205</f>
        <v>BLR</v>
      </c>
      <c r="D205" s="47">
        <f>Base_Articles!K205</f>
        <v>0</v>
      </c>
      <c r="E205" s="47" t="e">
        <f>SUMIFS(#REF!,#REF!,A205)</f>
        <v>#REF!</v>
      </c>
      <c r="F205" s="47" t="e">
        <f>SUMIFS(#REF!,#REF!,A205)</f>
        <v>#REF!</v>
      </c>
      <c r="G205" s="47" t="e">
        <f t="shared" si="9"/>
        <v>#REF!</v>
      </c>
      <c r="H205" s="47">
        <f>Base_Articles!G205</f>
        <v>5</v>
      </c>
      <c r="I205" s="47">
        <f>Base_Articles!H205</f>
        <v>50</v>
      </c>
      <c r="J205" s="47">
        <f>Base_Articles!J205</f>
        <v>0</v>
      </c>
      <c r="K205" s="47" t="e">
        <f t="shared" si="10"/>
        <v>#REF!</v>
      </c>
      <c r="L205" s="46" t="e">
        <f t="shared" si="11"/>
        <v>#REF!</v>
      </c>
    </row>
    <row r="206" spans="1:12" x14ac:dyDescent="0.25">
      <c r="A206" s="48" t="str">
        <f>Base_Articles!A206</f>
        <v>BLR-0007</v>
      </c>
      <c r="B206" s="48" t="str">
        <f>Base_Articles!C206</f>
        <v>Cordon informatique 1m</v>
      </c>
      <c r="C206" s="48" t="str">
        <f>Base_Articles!B206</f>
        <v>BLR</v>
      </c>
      <c r="D206" s="49">
        <f>Base_Articles!K206</f>
        <v>0</v>
      </c>
      <c r="E206" s="49" t="e">
        <f>SUMIFS(#REF!,#REF!,A206)</f>
        <v>#REF!</v>
      </c>
      <c r="F206" s="49" t="e">
        <f>SUMIFS(#REF!,#REF!,A206)</f>
        <v>#REF!</v>
      </c>
      <c r="G206" s="49" t="e">
        <f t="shared" si="9"/>
        <v>#REF!</v>
      </c>
      <c r="H206" s="49">
        <f>Base_Articles!G206</f>
        <v>5</v>
      </c>
      <c r="I206" s="49">
        <f>Base_Articles!H206</f>
        <v>50</v>
      </c>
      <c r="J206" s="49">
        <f>Base_Articles!J206</f>
        <v>0</v>
      </c>
      <c r="K206" s="49" t="e">
        <f t="shared" si="10"/>
        <v>#REF!</v>
      </c>
      <c r="L206" s="48" t="e">
        <f t="shared" si="11"/>
        <v>#REF!</v>
      </c>
    </row>
    <row r="207" spans="1:12" x14ac:dyDescent="0.25">
      <c r="A207" s="46" t="str">
        <f>Base_Articles!A207</f>
        <v>BLR-0008</v>
      </c>
      <c r="B207" s="46" t="str">
        <f>Base_Articles!C207</f>
        <v>Cordon informatique 3m</v>
      </c>
      <c r="C207" s="46" t="str">
        <f>Base_Articles!B207</f>
        <v>BLR</v>
      </c>
      <c r="D207" s="47">
        <f>Base_Articles!K207</f>
        <v>0</v>
      </c>
      <c r="E207" s="47" t="e">
        <f>SUMIFS(#REF!,#REF!,A207)</f>
        <v>#REF!</v>
      </c>
      <c r="F207" s="47" t="e">
        <f>SUMIFS(#REF!,#REF!,A207)</f>
        <v>#REF!</v>
      </c>
      <c r="G207" s="47" t="e">
        <f t="shared" si="9"/>
        <v>#REF!</v>
      </c>
      <c r="H207" s="47">
        <f>Base_Articles!G207</f>
        <v>5</v>
      </c>
      <c r="I207" s="47">
        <f>Base_Articles!H207</f>
        <v>50</v>
      </c>
      <c r="J207" s="47">
        <f>Base_Articles!J207</f>
        <v>0</v>
      </c>
      <c r="K207" s="47" t="e">
        <f t="shared" si="10"/>
        <v>#REF!</v>
      </c>
      <c r="L207" s="46" t="e">
        <f t="shared" si="11"/>
        <v>#REF!</v>
      </c>
    </row>
    <row r="208" spans="1:12" x14ac:dyDescent="0.25">
      <c r="A208" s="48" t="str">
        <f>Base_Articles!A208</f>
        <v>BLR-0009</v>
      </c>
      <c r="B208" s="48" t="str">
        <f>Base_Articles!C208</f>
        <v>Bombe galva</v>
      </c>
      <c r="C208" s="48" t="str">
        <f>Base_Articles!B208</f>
        <v>BLR</v>
      </c>
      <c r="D208" s="49">
        <f>Base_Articles!K208</f>
        <v>0</v>
      </c>
      <c r="E208" s="49" t="e">
        <f>SUMIFS(#REF!,#REF!,A208)</f>
        <v>#REF!</v>
      </c>
      <c r="F208" s="49" t="e">
        <f>SUMIFS(#REF!,#REF!,A208)</f>
        <v>#REF!</v>
      </c>
      <c r="G208" s="49" t="e">
        <f t="shared" si="9"/>
        <v>#REF!</v>
      </c>
      <c r="H208" s="49">
        <f>Base_Articles!G208</f>
        <v>5</v>
      </c>
      <c r="I208" s="49">
        <f>Base_Articles!H208</f>
        <v>50</v>
      </c>
      <c r="J208" s="49">
        <f>Base_Articles!J208</f>
        <v>0</v>
      </c>
      <c r="K208" s="49" t="e">
        <f t="shared" si="10"/>
        <v>#REF!</v>
      </c>
      <c r="L208" s="48" t="e">
        <f t="shared" si="11"/>
        <v>#REF!</v>
      </c>
    </row>
    <row r="209" spans="1:12" x14ac:dyDescent="0.25">
      <c r="A209" s="46" t="str">
        <f>Base_Articles!A209</f>
        <v>NEW-0001</v>
      </c>
      <c r="B209" s="46" t="str">
        <f>Base_Articles!C209</f>
        <v>Bombe à air sèc</v>
      </c>
      <c r="C209" s="46" t="str">
        <f>Base_Articles!B209</f>
        <v>BLR (a classer)</v>
      </c>
      <c r="D209" s="47">
        <f>Base_Articles!K209</f>
        <v>0</v>
      </c>
      <c r="E209" s="47" t="e">
        <f>SUMIFS(#REF!,#REF!,A209)</f>
        <v>#REF!</v>
      </c>
      <c r="F209" s="47" t="e">
        <f>SUMIFS(#REF!,#REF!,A209)</f>
        <v>#REF!</v>
      </c>
      <c r="G209" s="47" t="e">
        <f t="shared" si="9"/>
        <v>#REF!</v>
      </c>
      <c r="H209" s="47">
        <f>Base_Articles!G209</f>
        <v>5</v>
      </c>
      <c r="I209" s="47">
        <f>Base_Articles!H209</f>
        <v>50</v>
      </c>
      <c r="J209" s="47">
        <f>Base_Articles!J209</f>
        <v>0</v>
      </c>
      <c r="K209" s="47" t="e">
        <f t="shared" si="10"/>
        <v>#REF!</v>
      </c>
      <c r="L209" s="46" t="e">
        <f t="shared" si="11"/>
        <v>#REF!</v>
      </c>
    </row>
    <row r="210" spans="1:12" x14ac:dyDescent="0.25">
      <c r="A210" s="48" t="str">
        <f>Base_Articles!A210</f>
        <v>NEW-0002</v>
      </c>
      <c r="B210" s="48" t="str">
        <f>Base_Articles!C210</f>
        <v>Meplat 30x2mm</v>
      </c>
      <c r="C210" s="48" t="str">
        <f>Base_Articles!B210</f>
        <v>BLR (a classer)</v>
      </c>
      <c r="D210" s="49">
        <f>Base_Articles!K210</f>
        <v>0</v>
      </c>
      <c r="E210" s="49" t="e">
        <f>SUMIFS(#REF!,#REF!,A210)</f>
        <v>#REF!</v>
      </c>
      <c r="F210" s="49" t="e">
        <f>SUMIFS(#REF!,#REF!,A210)</f>
        <v>#REF!</v>
      </c>
      <c r="G210" s="49" t="e">
        <f t="shared" si="9"/>
        <v>#REF!</v>
      </c>
      <c r="H210" s="49">
        <f>Base_Articles!G210</f>
        <v>5</v>
      </c>
      <c r="I210" s="49">
        <f>Base_Articles!H210</f>
        <v>50</v>
      </c>
      <c r="J210" s="49">
        <f>Base_Articles!J210</f>
        <v>0</v>
      </c>
      <c r="K210" s="49" t="e">
        <f t="shared" si="10"/>
        <v>#REF!</v>
      </c>
      <c r="L210" s="48" t="e">
        <f t="shared" si="11"/>
        <v>#REF!</v>
      </c>
    </row>
    <row r="211" spans="1:12" x14ac:dyDescent="0.25">
      <c r="A211" s="46" t="str">
        <f>Base_Articles!A211</f>
        <v>NEW-0003</v>
      </c>
      <c r="B211" s="46" t="str">
        <f>Base_Articles!C211</f>
        <v>Barette de terre 8 trous</v>
      </c>
      <c r="C211" s="46" t="str">
        <f>Base_Articles!B211</f>
        <v>BLR (a classer)</v>
      </c>
      <c r="D211" s="47">
        <f>Base_Articles!K211</f>
        <v>0</v>
      </c>
      <c r="E211" s="47" t="e">
        <f>SUMIFS(#REF!,#REF!,A211)</f>
        <v>#REF!</v>
      </c>
      <c r="F211" s="47" t="e">
        <f>SUMIFS(#REF!,#REF!,A211)</f>
        <v>#REF!</v>
      </c>
      <c r="G211" s="47" t="e">
        <f t="shared" si="9"/>
        <v>#REF!</v>
      </c>
      <c r="H211" s="47">
        <f>Base_Articles!G211</f>
        <v>5</v>
      </c>
      <c r="I211" s="47">
        <f>Base_Articles!H211</f>
        <v>50</v>
      </c>
      <c r="J211" s="47">
        <f>Base_Articles!J211</f>
        <v>0</v>
      </c>
      <c r="K211" s="47" t="e">
        <f t="shared" si="10"/>
        <v>#REF!</v>
      </c>
      <c r="L211" s="46" t="e">
        <f t="shared" si="11"/>
        <v>#REF!</v>
      </c>
    </row>
    <row r="212" spans="1:12" x14ac:dyDescent="0.25">
      <c r="A212" s="48" t="str">
        <f>Base_Articles!A212</f>
        <v>NEW-0004</v>
      </c>
      <c r="B212" s="48" t="str">
        <f>Base_Articles!C212</f>
        <v>câble parafoudre</v>
      </c>
      <c r="C212" s="48" t="str">
        <f>Base_Articles!B212</f>
        <v>BLR (a classer)</v>
      </c>
      <c r="D212" s="49">
        <f>Base_Articles!K212</f>
        <v>0</v>
      </c>
      <c r="E212" s="49" t="e">
        <f>SUMIFS(#REF!,#REF!,A212)</f>
        <v>#REF!</v>
      </c>
      <c r="F212" s="49" t="e">
        <f>SUMIFS(#REF!,#REF!,A212)</f>
        <v>#REF!</v>
      </c>
      <c r="G212" s="49" t="e">
        <f t="shared" si="9"/>
        <v>#REF!</v>
      </c>
      <c r="H212" s="49">
        <f>Base_Articles!G212</f>
        <v>5</v>
      </c>
      <c r="I212" s="49">
        <f>Base_Articles!H212</f>
        <v>50</v>
      </c>
      <c r="J212" s="49">
        <f>Base_Articles!J212</f>
        <v>0</v>
      </c>
      <c r="K212" s="49" t="e">
        <f t="shared" si="10"/>
        <v>#REF!</v>
      </c>
      <c r="L212" s="48" t="e">
        <f t="shared" si="11"/>
        <v>#REF!</v>
      </c>
    </row>
    <row r="213" spans="1:12" x14ac:dyDescent="0.25">
      <c r="A213" s="46" t="str">
        <f>Base_Articles!A213</f>
        <v>NEW-0005</v>
      </c>
      <c r="B213" s="46" t="str">
        <f>Base_Articles!C213</f>
        <v>Regard de visite</v>
      </c>
      <c r="C213" s="46" t="str">
        <f>Base_Articles!B213</f>
        <v>BLR (a classer)</v>
      </c>
      <c r="D213" s="47">
        <f>Base_Articles!K213</f>
        <v>0</v>
      </c>
      <c r="E213" s="47" t="e">
        <f>SUMIFS(#REF!,#REF!,A213)</f>
        <v>#REF!</v>
      </c>
      <c r="F213" s="47" t="e">
        <f>SUMIFS(#REF!,#REF!,A213)</f>
        <v>#REF!</v>
      </c>
      <c r="G213" s="47" t="e">
        <f t="shared" si="9"/>
        <v>#REF!</v>
      </c>
      <c r="H213" s="47">
        <f>Base_Articles!G213</f>
        <v>5</v>
      </c>
      <c r="I213" s="47">
        <f>Base_Articles!H213</f>
        <v>50</v>
      </c>
      <c r="J213" s="47">
        <f>Base_Articles!J213</f>
        <v>0</v>
      </c>
      <c r="K213" s="47" t="e">
        <f t="shared" si="10"/>
        <v>#REF!</v>
      </c>
      <c r="L213" s="46" t="e">
        <f t="shared" si="11"/>
        <v>#REF!</v>
      </c>
    </row>
    <row r="214" spans="1:12" x14ac:dyDescent="0.25">
      <c r="A214" s="48" t="str">
        <f>Base_Articles!A214</f>
        <v>NEW-0006</v>
      </c>
      <c r="B214" s="48" t="str">
        <f>Base_Articles!C214</f>
        <v>Attache meplat</v>
      </c>
      <c r="C214" s="48" t="str">
        <f>Base_Articles!B214</f>
        <v>BLR (a classer)</v>
      </c>
      <c r="D214" s="49">
        <f>Base_Articles!K214</f>
        <v>0</v>
      </c>
      <c r="E214" s="49" t="e">
        <f>SUMIFS(#REF!,#REF!,A214)</f>
        <v>#REF!</v>
      </c>
      <c r="F214" s="49" t="e">
        <f>SUMIFS(#REF!,#REF!,A214)</f>
        <v>#REF!</v>
      </c>
      <c r="G214" s="49" t="e">
        <f t="shared" si="9"/>
        <v>#REF!</v>
      </c>
      <c r="H214" s="49">
        <f>Base_Articles!G214</f>
        <v>5</v>
      </c>
      <c r="I214" s="49">
        <f>Base_Articles!H214</f>
        <v>50</v>
      </c>
      <c r="J214" s="49">
        <f>Base_Articles!J214</f>
        <v>0</v>
      </c>
      <c r="K214" s="49" t="e">
        <f t="shared" si="10"/>
        <v>#REF!</v>
      </c>
      <c r="L214" s="48" t="e">
        <f t="shared" si="11"/>
        <v>#REF!</v>
      </c>
    </row>
    <row r="215" spans="1:12" x14ac:dyDescent="0.25">
      <c r="A215" s="46" t="str">
        <f>Base_Articles!A215</f>
        <v>NEW-0007</v>
      </c>
      <c r="B215" s="46" t="str">
        <f>Base_Articles!C215</f>
        <v>Bitume cargot</v>
      </c>
      <c r="C215" s="46" t="str">
        <f>Base_Articles!B215</f>
        <v>BLR (a classer)</v>
      </c>
      <c r="D215" s="47">
        <f>Base_Articles!K215</f>
        <v>0</v>
      </c>
      <c r="E215" s="47" t="e">
        <f>SUMIFS(#REF!,#REF!,A215)</f>
        <v>#REF!</v>
      </c>
      <c r="F215" s="47" t="e">
        <f>SUMIFS(#REF!,#REF!,A215)</f>
        <v>#REF!</v>
      </c>
      <c r="G215" s="47" t="e">
        <f t="shared" si="9"/>
        <v>#REF!</v>
      </c>
      <c r="H215" s="47">
        <f>Base_Articles!G215</f>
        <v>5</v>
      </c>
      <c r="I215" s="47">
        <f>Base_Articles!H215</f>
        <v>50</v>
      </c>
      <c r="J215" s="47">
        <f>Base_Articles!J215</f>
        <v>0</v>
      </c>
      <c r="K215" s="47" t="e">
        <f t="shared" si="10"/>
        <v>#REF!</v>
      </c>
      <c r="L215" s="46" t="e">
        <f t="shared" si="11"/>
        <v>#REF!</v>
      </c>
    </row>
    <row r="216" spans="1:12" x14ac:dyDescent="0.25">
      <c r="A216" s="48" t="str">
        <f>Base_Articles!A216</f>
        <v>NEW-0008</v>
      </c>
      <c r="B216" s="48" t="str">
        <f>Base_Articles!C216</f>
        <v>Tendeur fil barbélé</v>
      </c>
      <c r="C216" s="48" t="str">
        <f>Base_Articles!B216</f>
        <v>BLR (a classer)</v>
      </c>
      <c r="D216" s="49">
        <f>Base_Articles!K216</f>
        <v>0</v>
      </c>
      <c r="E216" s="49" t="e">
        <f>SUMIFS(#REF!,#REF!,A216)</f>
        <v>#REF!</v>
      </c>
      <c r="F216" s="49" t="e">
        <f>SUMIFS(#REF!,#REF!,A216)</f>
        <v>#REF!</v>
      </c>
      <c r="G216" s="49" t="e">
        <f t="shared" si="9"/>
        <v>#REF!</v>
      </c>
      <c r="H216" s="49">
        <f>Base_Articles!G216</f>
        <v>5</v>
      </c>
      <c r="I216" s="49">
        <f>Base_Articles!H216</f>
        <v>50</v>
      </c>
      <c r="J216" s="49">
        <f>Base_Articles!J216</f>
        <v>0</v>
      </c>
      <c r="K216" s="49" t="e">
        <f t="shared" si="10"/>
        <v>#REF!</v>
      </c>
      <c r="L216" s="48" t="e">
        <f t="shared" si="11"/>
        <v>#REF!</v>
      </c>
    </row>
    <row r="217" spans="1:12" x14ac:dyDescent="0.25">
      <c r="A217" s="46" t="str">
        <f>Base_Articles!A217</f>
        <v>NEW-0009</v>
      </c>
      <c r="B217" s="46" t="str">
        <f>Base_Articles!C217</f>
        <v>Manchon</v>
      </c>
      <c r="C217" s="46" t="str">
        <f>Base_Articles!B217</f>
        <v>BLR (a classer)</v>
      </c>
      <c r="D217" s="47">
        <f>Base_Articles!K217</f>
        <v>0</v>
      </c>
      <c r="E217" s="47" t="e">
        <f>SUMIFS(#REF!,#REF!,A217)</f>
        <v>#REF!</v>
      </c>
      <c r="F217" s="47" t="e">
        <f>SUMIFS(#REF!,#REF!,A217)</f>
        <v>#REF!</v>
      </c>
      <c r="G217" s="47" t="e">
        <f t="shared" si="9"/>
        <v>#REF!</v>
      </c>
      <c r="H217" s="47">
        <f>Base_Articles!G217</f>
        <v>5</v>
      </c>
      <c r="I217" s="47">
        <f>Base_Articles!H217</f>
        <v>50</v>
      </c>
      <c r="J217" s="47">
        <f>Base_Articles!J217</f>
        <v>0</v>
      </c>
      <c r="K217" s="47" t="e">
        <f t="shared" si="10"/>
        <v>#REF!</v>
      </c>
      <c r="L217" s="46" t="e">
        <f t="shared" si="11"/>
        <v>#REF!</v>
      </c>
    </row>
    <row r="218" spans="1:12" x14ac:dyDescent="0.25">
      <c r="A218" s="48" t="str">
        <f>Base_Articles!A218</f>
        <v>NEW-0010</v>
      </c>
      <c r="B218" s="48" t="str">
        <f>Base_Articles!C218</f>
        <v>Silicone</v>
      </c>
      <c r="C218" s="48" t="str">
        <f>Base_Articles!B218</f>
        <v>BLR (a classer)</v>
      </c>
      <c r="D218" s="49">
        <f>Base_Articles!K218</f>
        <v>0</v>
      </c>
      <c r="E218" s="49" t="e">
        <f>SUMIFS(#REF!,#REF!,A218)</f>
        <v>#REF!</v>
      </c>
      <c r="F218" s="49" t="e">
        <f>SUMIFS(#REF!,#REF!,A218)</f>
        <v>#REF!</v>
      </c>
      <c r="G218" s="49" t="e">
        <f t="shared" si="9"/>
        <v>#REF!</v>
      </c>
      <c r="H218" s="49">
        <f>Base_Articles!G218</f>
        <v>5</v>
      </c>
      <c r="I218" s="49">
        <f>Base_Articles!H218</f>
        <v>50</v>
      </c>
      <c r="J218" s="49">
        <f>Base_Articles!J218</f>
        <v>0</v>
      </c>
      <c r="K218" s="49" t="e">
        <f t="shared" si="10"/>
        <v>#REF!</v>
      </c>
      <c r="L218" s="48" t="e">
        <f t="shared" si="11"/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O41"/>
  <sheetViews>
    <sheetView tabSelected="1" workbookViewId="0"/>
  </sheetViews>
  <sheetFormatPr baseColWidth="10" defaultRowHeight="15" x14ac:dyDescent="0.25"/>
  <sheetData>
    <row r="1" spans="1:15" ht="20.25" x14ac:dyDescent="0.25">
      <c r="A1" s="22" t="s">
        <v>545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4" spans="1:15" ht="82.5" x14ac:dyDescent="0.25">
      <c r="A4" s="24" t="s">
        <v>546</v>
      </c>
      <c r="B4" s="24" t="s">
        <v>69</v>
      </c>
      <c r="C4" s="24" t="s">
        <v>519</v>
      </c>
      <c r="D4" s="24" t="s">
        <v>547</v>
      </c>
      <c r="E4" s="24" t="s">
        <v>548</v>
      </c>
      <c r="F4" s="24" t="s">
        <v>549</v>
      </c>
      <c r="G4" s="24" t="s">
        <v>550</v>
      </c>
      <c r="H4" s="24" t="s">
        <v>551</v>
      </c>
      <c r="I4" s="24" t="s">
        <v>552</v>
      </c>
      <c r="J4" s="24" t="s">
        <v>553</v>
      </c>
      <c r="K4" s="24" t="s">
        <v>80</v>
      </c>
      <c r="L4" s="24" t="s">
        <v>554</v>
      </c>
      <c r="M4" s="24" t="s">
        <v>555</v>
      </c>
      <c r="N4" s="24" t="s">
        <v>556</v>
      </c>
      <c r="O4" s="24" t="s">
        <v>557</v>
      </c>
    </row>
    <row r="5" spans="1:15" x14ac:dyDescent="0.25">
      <c r="A5" s="25" t="s">
        <v>558</v>
      </c>
      <c r="B5" s="25" t="s">
        <v>559</v>
      </c>
      <c r="C5" s="25">
        <v>1</v>
      </c>
      <c r="D5" s="25"/>
      <c r="E5" s="25"/>
      <c r="F5" s="25" t="s">
        <v>58</v>
      </c>
      <c r="G5" s="25"/>
      <c r="H5" s="25" t="s">
        <v>560</v>
      </c>
      <c r="I5" s="30"/>
      <c r="J5" s="30"/>
      <c r="K5" s="25"/>
      <c r="L5" s="50" t="e">
        <f>IF(COUNTIFS(#REF!,A5)=0,"",_xlfn.MAXIFS(#REF!,#REF!,A5))</f>
        <v>#REF!</v>
      </c>
      <c r="M5" s="51" t="str">
        <f>IFERROR(INDEX(#REF!,MATCH(A5&amp;"|"&amp;TEXT(L5,"YYYYMMDD"),#REF!,0)),"")</f>
        <v/>
      </c>
      <c r="N5" s="51" t="e">
        <f>IF(L5="","Disponible (aucun mouvement)",IFERROR(INDEX(#REF!,MATCH(A5&amp;"|"&amp;TEXT(L5,"YYYYMMDD"),#REF!,0)),"Disponible"))</f>
        <v>#REF!</v>
      </c>
      <c r="O5" s="51" t="e">
        <f t="shared" ref="O5:O41" ca="1" si="0">IF(L5&lt;&gt;"",TODAY()-L5,"")</f>
        <v>#REF!</v>
      </c>
    </row>
    <row r="6" spans="1:15" x14ac:dyDescent="0.25">
      <c r="A6" s="31" t="s">
        <v>561</v>
      </c>
      <c r="B6" s="31" t="s">
        <v>562</v>
      </c>
      <c r="C6" s="31">
        <v>3</v>
      </c>
      <c r="D6" s="31"/>
      <c r="E6" s="31"/>
      <c r="F6" s="31" t="s">
        <v>58</v>
      </c>
      <c r="G6" s="31"/>
      <c r="H6" s="31" t="s">
        <v>560</v>
      </c>
      <c r="I6" s="36"/>
      <c r="J6" s="36"/>
      <c r="K6" s="31"/>
      <c r="L6" s="50" t="e">
        <f>IF(COUNTIFS(#REF!,A6)=0,"",_xlfn.MAXIFS(#REF!,#REF!,A6))</f>
        <v>#REF!</v>
      </c>
      <c r="M6" s="51" t="str">
        <f>IFERROR(INDEX(#REF!,MATCH(A6&amp;"|"&amp;TEXT(L6,"YYYYMMDD"),#REF!,0)),"")</f>
        <v/>
      </c>
      <c r="N6" s="51" t="e">
        <f>IF(L6="","Disponible (aucun mouvement)",IFERROR(INDEX(#REF!,MATCH(A6&amp;"|"&amp;TEXT(L6,"YYYYMMDD"),#REF!,0)),"Disponible"))</f>
        <v>#REF!</v>
      </c>
      <c r="O6" s="51" t="e">
        <f t="shared" ca="1" si="0"/>
        <v>#REF!</v>
      </c>
    </row>
    <row r="7" spans="1:15" x14ac:dyDescent="0.25">
      <c r="A7" s="25" t="s">
        <v>563</v>
      </c>
      <c r="B7" s="25" t="s">
        <v>564</v>
      </c>
      <c r="C7" s="25">
        <v>2</v>
      </c>
      <c r="D7" s="25"/>
      <c r="E7" s="25"/>
      <c r="F7" s="25" t="s">
        <v>58</v>
      </c>
      <c r="G7" s="25"/>
      <c r="H7" s="25" t="s">
        <v>560</v>
      </c>
      <c r="I7" s="30"/>
      <c r="J7" s="30"/>
      <c r="K7" s="25"/>
      <c r="L7" s="50" t="e">
        <f>IF(COUNTIFS(#REF!,A7)=0,"",_xlfn.MAXIFS(#REF!,#REF!,A7))</f>
        <v>#REF!</v>
      </c>
      <c r="M7" s="51" t="str">
        <f>IFERROR(INDEX(#REF!,MATCH(A7&amp;"|"&amp;TEXT(L7,"YYYYMMDD"),#REF!,0)),"")</f>
        <v/>
      </c>
      <c r="N7" s="51" t="e">
        <f>IF(L7="","Disponible (aucun mouvement)",IFERROR(INDEX(#REF!,MATCH(A7&amp;"|"&amp;TEXT(L7,"YYYYMMDD"),#REF!,0)),"Disponible"))</f>
        <v>#REF!</v>
      </c>
      <c r="O7" s="51" t="e">
        <f t="shared" ca="1" si="0"/>
        <v>#REF!</v>
      </c>
    </row>
    <row r="8" spans="1:15" x14ac:dyDescent="0.25">
      <c r="A8" s="31" t="s">
        <v>565</v>
      </c>
      <c r="B8" s="31" t="s">
        <v>566</v>
      </c>
      <c r="C8" s="31">
        <v>0</v>
      </c>
      <c r="D8" s="31"/>
      <c r="E8" s="31"/>
      <c r="F8" s="31" t="s">
        <v>58</v>
      </c>
      <c r="G8" s="31"/>
      <c r="H8" s="31" t="s">
        <v>560</v>
      </c>
      <c r="I8" s="36"/>
      <c r="J8" s="36"/>
      <c r="K8" s="31"/>
      <c r="L8" s="50" t="e">
        <f>IF(COUNTIFS(#REF!,A8)=0,"",_xlfn.MAXIFS(#REF!,#REF!,A8))</f>
        <v>#REF!</v>
      </c>
      <c r="M8" s="51" t="str">
        <f>IFERROR(INDEX(#REF!,MATCH(A8&amp;"|"&amp;TEXT(L8,"YYYYMMDD"),#REF!,0)),"")</f>
        <v/>
      </c>
      <c r="N8" s="51" t="e">
        <f>IF(L8="","Disponible (aucun mouvement)",IFERROR(INDEX(#REF!,MATCH(A8&amp;"|"&amp;TEXT(L8,"YYYYMMDD"),#REF!,0)),"Disponible"))</f>
        <v>#REF!</v>
      </c>
      <c r="O8" s="51" t="e">
        <f t="shared" ca="1" si="0"/>
        <v>#REF!</v>
      </c>
    </row>
    <row r="9" spans="1:15" x14ac:dyDescent="0.25">
      <c r="A9" s="25" t="s">
        <v>567</v>
      </c>
      <c r="B9" s="25" t="s">
        <v>568</v>
      </c>
      <c r="C9" s="25">
        <v>1</v>
      </c>
      <c r="D9" s="25"/>
      <c r="E9" s="25"/>
      <c r="F9" s="25" t="s">
        <v>58</v>
      </c>
      <c r="G9" s="25"/>
      <c r="H9" s="25" t="s">
        <v>560</v>
      </c>
      <c r="I9" s="30"/>
      <c r="J9" s="30"/>
      <c r="K9" s="25"/>
      <c r="L9" s="50" t="e">
        <f>IF(COUNTIFS(#REF!,A9)=0,"",_xlfn.MAXIFS(#REF!,#REF!,A9))</f>
        <v>#REF!</v>
      </c>
      <c r="M9" s="51" t="str">
        <f>IFERROR(INDEX(#REF!,MATCH(A9&amp;"|"&amp;TEXT(L9,"YYYYMMDD"),#REF!,0)),"")</f>
        <v/>
      </c>
      <c r="N9" s="51" t="e">
        <f>IF(L9="","Disponible (aucun mouvement)",IFERROR(INDEX(#REF!,MATCH(A9&amp;"|"&amp;TEXT(L9,"YYYYMMDD"),#REF!,0)),"Disponible"))</f>
        <v>#REF!</v>
      </c>
      <c r="O9" s="51" t="e">
        <f t="shared" ca="1" si="0"/>
        <v>#REF!</v>
      </c>
    </row>
    <row r="10" spans="1:15" x14ac:dyDescent="0.25">
      <c r="A10" s="31" t="s">
        <v>569</v>
      </c>
      <c r="B10" s="31" t="s">
        <v>570</v>
      </c>
      <c r="C10" s="31">
        <v>1</v>
      </c>
      <c r="D10" s="31"/>
      <c r="E10" s="31"/>
      <c r="F10" s="31" t="s">
        <v>58</v>
      </c>
      <c r="G10" s="31"/>
      <c r="H10" s="31" t="s">
        <v>560</v>
      </c>
      <c r="I10" s="36"/>
      <c r="J10" s="36"/>
      <c r="K10" s="31"/>
      <c r="L10" s="50" t="e">
        <f>IF(COUNTIFS(#REF!,A10)=0,"",_xlfn.MAXIFS(#REF!,#REF!,A10))</f>
        <v>#REF!</v>
      </c>
      <c r="M10" s="51" t="str">
        <f>IFERROR(INDEX(#REF!,MATCH(A10&amp;"|"&amp;TEXT(L10,"YYYYMMDD"),#REF!,0)),"")</f>
        <v/>
      </c>
      <c r="N10" s="51" t="e">
        <f>IF(L10="","Disponible (aucun mouvement)",IFERROR(INDEX(#REF!,MATCH(A10&amp;"|"&amp;TEXT(L10,"YYYYMMDD"),#REF!,0)),"Disponible"))</f>
        <v>#REF!</v>
      </c>
      <c r="O10" s="51" t="e">
        <f t="shared" ca="1" si="0"/>
        <v>#REF!</v>
      </c>
    </row>
    <row r="11" spans="1:15" x14ac:dyDescent="0.25">
      <c r="A11" s="25" t="s">
        <v>571</v>
      </c>
      <c r="B11" s="25" t="s">
        <v>572</v>
      </c>
      <c r="C11" s="25">
        <v>1</v>
      </c>
      <c r="D11" s="25"/>
      <c r="E11" s="25"/>
      <c r="F11" s="25" t="s">
        <v>58</v>
      </c>
      <c r="G11" s="25"/>
      <c r="H11" s="25" t="s">
        <v>560</v>
      </c>
      <c r="I11" s="30"/>
      <c r="J11" s="30"/>
      <c r="K11" s="25"/>
      <c r="L11" s="50" t="e">
        <f>IF(COUNTIFS(#REF!,A11)=0,"",_xlfn.MAXIFS(#REF!,#REF!,A11))</f>
        <v>#REF!</v>
      </c>
      <c r="M11" s="51" t="str">
        <f>IFERROR(INDEX(#REF!,MATCH(A11&amp;"|"&amp;TEXT(L11,"YYYYMMDD"),#REF!,0)),"")</f>
        <v/>
      </c>
      <c r="N11" s="51" t="e">
        <f>IF(L11="","Disponible (aucun mouvement)",IFERROR(INDEX(#REF!,MATCH(A11&amp;"|"&amp;TEXT(L11,"YYYYMMDD"),#REF!,0)),"Disponible"))</f>
        <v>#REF!</v>
      </c>
      <c r="O11" s="51" t="e">
        <f t="shared" ca="1" si="0"/>
        <v>#REF!</v>
      </c>
    </row>
    <row r="12" spans="1:15" x14ac:dyDescent="0.25">
      <c r="A12" s="31" t="s">
        <v>573</v>
      </c>
      <c r="B12" s="31" t="s">
        <v>574</v>
      </c>
      <c r="C12" s="31">
        <v>1</v>
      </c>
      <c r="D12" s="31"/>
      <c r="E12" s="31"/>
      <c r="F12" s="31" t="s">
        <v>58</v>
      </c>
      <c r="G12" s="31"/>
      <c r="H12" s="31" t="s">
        <v>560</v>
      </c>
      <c r="I12" s="36"/>
      <c r="J12" s="36"/>
      <c r="K12" s="31"/>
      <c r="L12" s="50" t="e">
        <f>IF(COUNTIFS(#REF!,A12)=0,"",_xlfn.MAXIFS(#REF!,#REF!,A12))</f>
        <v>#REF!</v>
      </c>
      <c r="M12" s="51" t="str">
        <f>IFERROR(INDEX(#REF!,MATCH(A12&amp;"|"&amp;TEXT(L12,"YYYYMMDD"),#REF!,0)),"")</f>
        <v/>
      </c>
      <c r="N12" s="51" t="e">
        <f>IF(L12="","Disponible (aucun mouvement)",IFERROR(INDEX(#REF!,MATCH(A12&amp;"|"&amp;TEXT(L12,"YYYYMMDD"),#REF!,0)),"Disponible"))</f>
        <v>#REF!</v>
      </c>
      <c r="O12" s="51" t="e">
        <f t="shared" ca="1" si="0"/>
        <v>#REF!</v>
      </c>
    </row>
    <row r="13" spans="1:15" x14ac:dyDescent="0.25">
      <c r="A13" s="25" t="s">
        <v>575</v>
      </c>
      <c r="B13" s="25" t="s">
        <v>576</v>
      </c>
      <c r="C13" s="25">
        <v>1</v>
      </c>
      <c r="D13" s="25"/>
      <c r="E13" s="25"/>
      <c r="F13" s="25" t="s">
        <v>58</v>
      </c>
      <c r="G13" s="25"/>
      <c r="H13" s="25" t="s">
        <v>560</v>
      </c>
      <c r="I13" s="30"/>
      <c r="J13" s="30"/>
      <c r="K13" s="25"/>
      <c r="L13" s="50" t="e">
        <f>IF(COUNTIFS(#REF!,A13)=0,"",_xlfn.MAXIFS(#REF!,#REF!,A13))</f>
        <v>#REF!</v>
      </c>
      <c r="M13" s="51" t="str">
        <f>IFERROR(INDEX(#REF!,MATCH(A13&amp;"|"&amp;TEXT(L13,"YYYYMMDD"),#REF!,0)),"")</f>
        <v/>
      </c>
      <c r="N13" s="51" t="e">
        <f>IF(L13="","Disponible (aucun mouvement)",IFERROR(INDEX(#REF!,MATCH(A13&amp;"|"&amp;TEXT(L13,"YYYYMMDD"),#REF!,0)),"Disponible"))</f>
        <v>#REF!</v>
      </c>
      <c r="O13" s="51" t="e">
        <f t="shared" ca="1" si="0"/>
        <v>#REF!</v>
      </c>
    </row>
    <row r="14" spans="1:15" x14ac:dyDescent="0.25">
      <c r="A14" s="31" t="s">
        <v>577</v>
      </c>
      <c r="B14" s="31" t="s">
        <v>578</v>
      </c>
      <c r="C14" s="31">
        <v>1</v>
      </c>
      <c r="D14" s="31"/>
      <c r="E14" s="31"/>
      <c r="F14" s="31" t="s">
        <v>58</v>
      </c>
      <c r="G14" s="31"/>
      <c r="H14" s="31" t="s">
        <v>560</v>
      </c>
      <c r="I14" s="36"/>
      <c r="J14" s="36"/>
      <c r="K14" s="31"/>
      <c r="L14" s="50" t="e">
        <f>IF(COUNTIFS(#REF!,A14)=0,"",_xlfn.MAXIFS(#REF!,#REF!,A14))</f>
        <v>#REF!</v>
      </c>
      <c r="M14" s="51" t="str">
        <f>IFERROR(INDEX(#REF!,MATCH(A14&amp;"|"&amp;TEXT(L14,"YYYYMMDD"),#REF!,0)),"")</f>
        <v/>
      </c>
      <c r="N14" s="51" t="e">
        <f>IF(L14="","Disponible (aucun mouvement)",IFERROR(INDEX(#REF!,MATCH(A14&amp;"|"&amp;TEXT(L14,"YYYYMMDD"),#REF!,0)),"Disponible"))</f>
        <v>#REF!</v>
      </c>
      <c r="O14" s="51" t="e">
        <f t="shared" ca="1" si="0"/>
        <v>#REF!</v>
      </c>
    </row>
    <row r="15" spans="1:15" x14ac:dyDescent="0.25">
      <c r="A15" s="25" t="s">
        <v>579</v>
      </c>
      <c r="B15" s="25" t="s">
        <v>580</v>
      </c>
      <c r="C15" s="25">
        <v>1</v>
      </c>
      <c r="D15" s="25"/>
      <c r="E15" s="25"/>
      <c r="F15" s="25" t="s">
        <v>58</v>
      </c>
      <c r="G15" s="25"/>
      <c r="H15" s="25" t="s">
        <v>560</v>
      </c>
      <c r="I15" s="30"/>
      <c r="J15" s="30"/>
      <c r="K15" s="25"/>
      <c r="L15" s="50" t="e">
        <f>IF(COUNTIFS(#REF!,A15)=0,"",_xlfn.MAXIFS(#REF!,#REF!,A15))</f>
        <v>#REF!</v>
      </c>
      <c r="M15" s="51" t="str">
        <f>IFERROR(INDEX(#REF!,MATCH(A15&amp;"|"&amp;TEXT(L15,"YYYYMMDD"),#REF!,0)),"")</f>
        <v/>
      </c>
      <c r="N15" s="51" t="e">
        <f>IF(L15="","Disponible (aucun mouvement)",IFERROR(INDEX(#REF!,MATCH(A15&amp;"|"&amp;TEXT(L15,"YYYYMMDD"),#REF!,0)),"Disponible"))</f>
        <v>#REF!</v>
      </c>
      <c r="O15" s="51" t="e">
        <f t="shared" ca="1" si="0"/>
        <v>#REF!</v>
      </c>
    </row>
    <row r="16" spans="1:15" x14ac:dyDescent="0.25">
      <c r="A16" s="31" t="s">
        <v>581</v>
      </c>
      <c r="B16" s="31" t="s">
        <v>582</v>
      </c>
      <c r="C16" s="31">
        <v>1</v>
      </c>
      <c r="D16" s="31"/>
      <c r="E16" s="31"/>
      <c r="F16" s="31" t="s">
        <v>58</v>
      </c>
      <c r="G16" s="31"/>
      <c r="H16" s="31" t="s">
        <v>560</v>
      </c>
      <c r="I16" s="36"/>
      <c r="J16" s="36"/>
      <c r="K16" s="31"/>
      <c r="L16" s="50" t="e">
        <f>IF(COUNTIFS(#REF!,A16)=0,"",_xlfn.MAXIFS(#REF!,#REF!,A16))</f>
        <v>#REF!</v>
      </c>
      <c r="M16" s="51" t="str">
        <f>IFERROR(INDEX(#REF!,MATCH(A16&amp;"|"&amp;TEXT(L16,"YYYYMMDD"),#REF!,0)),"")</f>
        <v/>
      </c>
      <c r="N16" s="51" t="e">
        <f>IF(L16="","Disponible (aucun mouvement)",IFERROR(INDEX(#REF!,MATCH(A16&amp;"|"&amp;TEXT(L16,"YYYYMMDD"),#REF!,0)),"Disponible"))</f>
        <v>#REF!</v>
      </c>
      <c r="O16" s="51" t="e">
        <f t="shared" ca="1" si="0"/>
        <v>#REF!</v>
      </c>
    </row>
    <row r="17" spans="1:15" x14ac:dyDescent="0.25">
      <c r="A17" s="25" t="s">
        <v>583</v>
      </c>
      <c r="B17" s="25" t="s">
        <v>584</v>
      </c>
      <c r="C17" s="25">
        <v>1</v>
      </c>
      <c r="D17" s="25"/>
      <c r="E17" s="25"/>
      <c r="F17" s="25" t="s">
        <v>58</v>
      </c>
      <c r="G17" s="25"/>
      <c r="H17" s="25" t="s">
        <v>560</v>
      </c>
      <c r="I17" s="30"/>
      <c r="J17" s="30"/>
      <c r="K17" s="25"/>
      <c r="L17" s="50" t="e">
        <f>IF(COUNTIFS(#REF!,A17)=0,"",_xlfn.MAXIFS(#REF!,#REF!,A17))</f>
        <v>#REF!</v>
      </c>
      <c r="M17" s="51" t="str">
        <f>IFERROR(INDEX(#REF!,MATCH(A17&amp;"|"&amp;TEXT(L17,"YYYYMMDD"),#REF!,0)),"")</f>
        <v/>
      </c>
      <c r="N17" s="51" t="e">
        <f>IF(L17="","Disponible (aucun mouvement)",IFERROR(INDEX(#REF!,MATCH(A17&amp;"|"&amp;TEXT(L17,"YYYYMMDD"),#REF!,0)),"Disponible"))</f>
        <v>#REF!</v>
      </c>
      <c r="O17" s="51" t="e">
        <f t="shared" ca="1" si="0"/>
        <v>#REF!</v>
      </c>
    </row>
    <row r="18" spans="1:15" x14ac:dyDescent="0.25">
      <c r="A18" s="31" t="s">
        <v>585</v>
      </c>
      <c r="B18" s="31" t="s">
        <v>586</v>
      </c>
      <c r="C18" s="31">
        <v>1</v>
      </c>
      <c r="D18" s="31"/>
      <c r="E18" s="31"/>
      <c r="F18" s="31" t="s">
        <v>58</v>
      </c>
      <c r="G18" s="31"/>
      <c r="H18" s="31" t="s">
        <v>560</v>
      </c>
      <c r="I18" s="36"/>
      <c r="J18" s="36"/>
      <c r="K18" s="31"/>
      <c r="L18" s="50" t="e">
        <f>IF(COUNTIFS(#REF!,A18)=0,"",_xlfn.MAXIFS(#REF!,#REF!,A18))</f>
        <v>#REF!</v>
      </c>
      <c r="M18" s="51" t="str">
        <f>IFERROR(INDEX(#REF!,MATCH(A18&amp;"|"&amp;TEXT(L18,"YYYYMMDD"),#REF!,0)),"")</f>
        <v/>
      </c>
      <c r="N18" s="51" t="e">
        <f>IF(L18="","Disponible (aucun mouvement)",IFERROR(INDEX(#REF!,MATCH(A18&amp;"|"&amp;TEXT(L18,"YYYYMMDD"),#REF!,0)),"Disponible"))</f>
        <v>#REF!</v>
      </c>
      <c r="O18" s="51" t="e">
        <f t="shared" ca="1" si="0"/>
        <v>#REF!</v>
      </c>
    </row>
    <row r="19" spans="1:15" x14ac:dyDescent="0.25">
      <c r="A19" s="25" t="s">
        <v>587</v>
      </c>
      <c r="B19" s="25" t="s">
        <v>588</v>
      </c>
      <c r="C19" s="25">
        <v>1</v>
      </c>
      <c r="D19" s="25"/>
      <c r="E19" s="25"/>
      <c r="F19" s="25" t="s">
        <v>58</v>
      </c>
      <c r="G19" s="25"/>
      <c r="H19" s="25" t="s">
        <v>560</v>
      </c>
      <c r="I19" s="30"/>
      <c r="J19" s="30"/>
      <c r="K19" s="25"/>
      <c r="L19" s="50" t="e">
        <f>IF(COUNTIFS(#REF!,A19)=0,"",_xlfn.MAXIFS(#REF!,#REF!,A19))</f>
        <v>#REF!</v>
      </c>
      <c r="M19" s="51" t="str">
        <f>IFERROR(INDEX(#REF!,MATCH(A19&amp;"|"&amp;TEXT(L19,"YYYYMMDD"),#REF!,0)),"")</f>
        <v/>
      </c>
      <c r="N19" s="51" t="e">
        <f>IF(L19="","Disponible (aucun mouvement)",IFERROR(INDEX(#REF!,MATCH(A19&amp;"|"&amp;TEXT(L19,"YYYYMMDD"),#REF!,0)),"Disponible"))</f>
        <v>#REF!</v>
      </c>
      <c r="O19" s="51" t="e">
        <f t="shared" ca="1" si="0"/>
        <v>#REF!</v>
      </c>
    </row>
    <row r="20" spans="1:15" x14ac:dyDescent="0.25">
      <c r="A20" s="31" t="s">
        <v>589</v>
      </c>
      <c r="B20" s="31" t="s">
        <v>590</v>
      </c>
      <c r="C20" s="31">
        <v>1</v>
      </c>
      <c r="D20" s="31"/>
      <c r="E20" s="31"/>
      <c r="F20" s="31" t="s">
        <v>58</v>
      </c>
      <c r="G20" s="31"/>
      <c r="H20" s="31" t="s">
        <v>560</v>
      </c>
      <c r="I20" s="36"/>
      <c r="J20" s="36"/>
      <c r="K20" s="31"/>
      <c r="L20" s="50" t="e">
        <f>IF(COUNTIFS(#REF!,A20)=0,"",_xlfn.MAXIFS(#REF!,#REF!,A20))</f>
        <v>#REF!</v>
      </c>
      <c r="M20" s="51" t="str">
        <f>IFERROR(INDEX(#REF!,MATCH(A20&amp;"|"&amp;TEXT(L20,"YYYYMMDD"),#REF!,0)),"")</f>
        <v/>
      </c>
      <c r="N20" s="51" t="e">
        <f>IF(L20="","Disponible (aucun mouvement)",IFERROR(INDEX(#REF!,MATCH(A20&amp;"|"&amp;TEXT(L20,"YYYYMMDD"),#REF!,0)),"Disponible"))</f>
        <v>#REF!</v>
      </c>
      <c r="O20" s="51" t="e">
        <f t="shared" ca="1" si="0"/>
        <v>#REF!</v>
      </c>
    </row>
    <row r="21" spans="1:15" x14ac:dyDescent="0.25">
      <c r="A21" s="25" t="s">
        <v>591</v>
      </c>
      <c r="B21" s="25" t="s">
        <v>592</v>
      </c>
      <c r="C21" s="25">
        <v>1</v>
      </c>
      <c r="D21" s="25"/>
      <c r="E21" s="25"/>
      <c r="F21" s="25" t="s">
        <v>58</v>
      </c>
      <c r="G21" s="25"/>
      <c r="H21" s="25" t="s">
        <v>560</v>
      </c>
      <c r="I21" s="30"/>
      <c r="J21" s="30"/>
      <c r="K21" s="25"/>
      <c r="L21" s="50" t="e">
        <f>IF(COUNTIFS(#REF!,A21)=0,"",_xlfn.MAXIFS(#REF!,#REF!,A21))</f>
        <v>#REF!</v>
      </c>
      <c r="M21" s="51" t="str">
        <f>IFERROR(INDEX(#REF!,MATCH(A21&amp;"|"&amp;TEXT(L21,"YYYYMMDD"),#REF!,0)),"")</f>
        <v/>
      </c>
      <c r="N21" s="51" t="e">
        <f>IF(L21="","Disponible (aucun mouvement)",IFERROR(INDEX(#REF!,MATCH(A21&amp;"|"&amp;TEXT(L21,"YYYYMMDD"),#REF!,0)),"Disponible"))</f>
        <v>#REF!</v>
      </c>
      <c r="O21" s="51" t="e">
        <f t="shared" ca="1" si="0"/>
        <v>#REF!</v>
      </c>
    </row>
    <row r="22" spans="1:15" x14ac:dyDescent="0.25">
      <c r="A22" s="31" t="s">
        <v>593</v>
      </c>
      <c r="B22" s="31" t="s">
        <v>594</v>
      </c>
      <c r="C22" s="31">
        <v>1</v>
      </c>
      <c r="D22" s="31"/>
      <c r="E22" s="31"/>
      <c r="F22" s="31" t="s">
        <v>58</v>
      </c>
      <c r="G22" s="31"/>
      <c r="H22" s="31" t="s">
        <v>560</v>
      </c>
      <c r="I22" s="36"/>
      <c r="J22" s="36"/>
      <c r="K22" s="31"/>
      <c r="L22" s="50" t="e">
        <f>IF(COUNTIFS(#REF!,A22)=0,"",_xlfn.MAXIFS(#REF!,#REF!,A22))</f>
        <v>#REF!</v>
      </c>
      <c r="M22" s="51" t="str">
        <f>IFERROR(INDEX(#REF!,MATCH(A22&amp;"|"&amp;TEXT(L22,"YYYYMMDD"),#REF!,0)),"")</f>
        <v/>
      </c>
      <c r="N22" s="51" t="e">
        <f>IF(L22="","Disponible (aucun mouvement)",IFERROR(INDEX(#REF!,MATCH(A22&amp;"|"&amp;TEXT(L22,"YYYYMMDD"),#REF!,0)),"Disponible"))</f>
        <v>#REF!</v>
      </c>
      <c r="O22" s="51" t="e">
        <f t="shared" ca="1" si="0"/>
        <v>#REF!</v>
      </c>
    </row>
    <row r="23" spans="1:15" x14ac:dyDescent="0.25">
      <c r="A23" s="25" t="s">
        <v>595</v>
      </c>
      <c r="B23" s="25" t="s">
        <v>596</v>
      </c>
      <c r="C23" s="25">
        <v>1</v>
      </c>
      <c r="D23" s="25"/>
      <c r="E23" s="25"/>
      <c r="F23" s="25" t="s">
        <v>58</v>
      </c>
      <c r="G23" s="25"/>
      <c r="H23" s="25" t="s">
        <v>560</v>
      </c>
      <c r="I23" s="30"/>
      <c r="J23" s="30"/>
      <c r="K23" s="25"/>
      <c r="L23" s="50" t="e">
        <f>IF(COUNTIFS(#REF!,A23)=0,"",_xlfn.MAXIFS(#REF!,#REF!,A23))</f>
        <v>#REF!</v>
      </c>
      <c r="M23" s="51" t="str">
        <f>IFERROR(INDEX(#REF!,MATCH(A23&amp;"|"&amp;TEXT(L23,"YYYYMMDD"),#REF!,0)),"")</f>
        <v/>
      </c>
      <c r="N23" s="51" t="e">
        <f>IF(L23="","Disponible (aucun mouvement)",IFERROR(INDEX(#REF!,MATCH(A23&amp;"|"&amp;TEXT(L23,"YYYYMMDD"),#REF!,0)),"Disponible"))</f>
        <v>#REF!</v>
      </c>
      <c r="O23" s="51" t="e">
        <f t="shared" ca="1" si="0"/>
        <v>#REF!</v>
      </c>
    </row>
    <row r="24" spans="1:15" x14ac:dyDescent="0.25">
      <c r="A24" s="31" t="s">
        <v>597</v>
      </c>
      <c r="B24" s="31" t="s">
        <v>598</v>
      </c>
      <c r="C24" s="31">
        <v>1</v>
      </c>
      <c r="D24" s="31"/>
      <c r="E24" s="31"/>
      <c r="F24" s="31" t="s">
        <v>58</v>
      </c>
      <c r="G24" s="31"/>
      <c r="H24" s="31" t="s">
        <v>560</v>
      </c>
      <c r="I24" s="36"/>
      <c r="J24" s="36"/>
      <c r="K24" s="31"/>
      <c r="L24" s="50" t="e">
        <f>IF(COUNTIFS(#REF!,A24)=0,"",_xlfn.MAXIFS(#REF!,#REF!,A24))</f>
        <v>#REF!</v>
      </c>
      <c r="M24" s="51" t="str">
        <f>IFERROR(INDEX(#REF!,MATCH(A24&amp;"|"&amp;TEXT(L24,"YYYYMMDD"),#REF!,0)),"")</f>
        <v/>
      </c>
      <c r="N24" s="51" t="e">
        <f>IF(L24="","Disponible (aucun mouvement)",IFERROR(INDEX(#REF!,MATCH(A24&amp;"|"&amp;TEXT(L24,"YYYYMMDD"),#REF!,0)),"Disponible"))</f>
        <v>#REF!</v>
      </c>
      <c r="O24" s="51" t="e">
        <f t="shared" ca="1" si="0"/>
        <v>#REF!</v>
      </c>
    </row>
    <row r="25" spans="1:15" x14ac:dyDescent="0.25">
      <c r="A25" s="25" t="s">
        <v>599</v>
      </c>
      <c r="B25" s="25" t="s">
        <v>600</v>
      </c>
      <c r="C25" s="25">
        <v>1</v>
      </c>
      <c r="D25" s="25"/>
      <c r="E25" s="25"/>
      <c r="F25" s="25" t="s">
        <v>58</v>
      </c>
      <c r="G25" s="25"/>
      <c r="H25" s="25" t="s">
        <v>560</v>
      </c>
      <c r="I25" s="30"/>
      <c r="J25" s="30"/>
      <c r="K25" s="25"/>
      <c r="L25" s="50" t="e">
        <f>IF(COUNTIFS(#REF!,A25)=0,"",_xlfn.MAXIFS(#REF!,#REF!,A25))</f>
        <v>#REF!</v>
      </c>
      <c r="M25" s="51" t="str">
        <f>IFERROR(INDEX(#REF!,MATCH(A25&amp;"|"&amp;TEXT(L25,"YYYYMMDD"),#REF!,0)),"")</f>
        <v/>
      </c>
      <c r="N25" s="51" t="e">
        <f>IF(L25="","Disponible (aucun mouvement)",IFERROR(INDEX(#REF!,MATCH(A25&amp;"|"&amp;TEXT(L25,"YYYYMMDD"),#REF!,0)),"Disponible"))</f>
        <v>#REF!</v>
      </c>
      <c r="O25" s="51" t="e">
        <f t="shared" ca="1" si="0"/>
        <v>#REF!</v>
      </c>
    </row>
    <row r="26" spans="1:15" x14ac:dyDescent="0.25">
      <c r="A26" s="31" t="s">
        <v>601</v>
      </c>
      <c r="B26" s="31" t="s">
        <v>602</v>
      </c>
      <c r="C26" s="31">
        <v>1</v>
      </c>
      <c r="D26" s="31"/>
      <c r="E26" s="31"/>
      <c r="F26" s="31" t="s">
        <v>58</v>
      </c>
      <c r="G26" s="31"/>
      <c r="H26" s="31" t="s">
        <v>560</v>
      </c>
      <c r="I26" s="36"/>
      <c r="J26" s="36"/>
      <c r="K26" s="31"/>
      <c r="L26" s="50" t="e">
        <f>IF(COUNTIFS(#REF!,A26)=0,"",_xlfn.MAXIFS(#REF!,#REF!,A26))</f>
        <v>#REF!</v>
      </c>
      <c r="M26" s="51" t="str">
        <f>IFERROR(INDEX(#REF!,MATCH(A26&amp;"|"&amp;TEXT(L26,"YYYYMMDD"),#REF!,0)),"")</f>
        <v/>
      </c>
      <c r="N26" s="51" t="e">
        <f>IF(L26="","Disponible (aucun mouvement)",IFERROR(INDEX(#REF!,MATCH(A26&amp;"|"&amp;TEXT(L26,"YYYYMMDD"),#REF!,0)),"Disponible"))</f>
        <v>#REF!</v>
      </c>
      <c r="O26" s="51" t="e">
        <f t="shared" ca="1" si="0"/>
        <v>#REF!</v>
      </c>
    </row>
    <row r="27" spans="1:15" x14ac:dyDescent="0.25">
      <c r="A27" s="25" t="s">
        <v>603</v>
      </c>
      <c r="B27" s="25" t="s">
        <v>604</v>
      </c>
      <c r="C27" s="25">
        <v>1</v>
      </c>
      <c r="D27" s="25"/>
      <c r="E27" s="25"/>
      <c r="F27" s="25" t="s">
        <v>58</v>
      </c>
      <c r="G27" s="25"/>
      <c r="H27" s="25" t="s">
        <v>560</v>
      </c>
      <c r="I27" s="30"/>
      <c r="J27" s="30"/>
      <c r="K27" s="25"/>
      <c r="L27" s="50" t="e">
        <f>IF(COUNTIFS(#REF!,A27)=0,"",_xlfn.MAXIFS(#REF!,#REF!,A27))</f>
        <v>#REF!</v>
      </c>
      <c r="M27" s="51" t="str">
        <f>IFERROR(INDEX(#REF!,MATCH(A27&amp;"|"&amp;TEXT(L27,"YYYYMMDD"),#REF!,0)),"")</f>
        <v/>
      </c>
      <c r="N27" s="51" t="e">
        <f>IF(L27="","Disponible (aucun mouvement)",IFERROR(INDEX(#REF!,MATCH(A27&amp;"|"&amp;TEXT(L27,"YYYYMMDD"),#REF!,0)),"Disponible"))</f>
        <v>#REF!</v>
      </c>
      <c r="O27" s="51" t="e">
        <f t="shared" ca="1" si="0"/>
        <v>#REF!</v>
      </c>
    </row>
    <row r="28" spans="1:15" x14ac:dyDescent="0.25">
      <c r="A28" s="31" t="s">
        <v>605</v>
      </c>
      <c r="B28" s="31" t="s">
        <v>606</v>
      </c>
      <c r="C28" s="31">
        <v>1</v>
      </c>
      <c r="D28" s="31"/>
      <c r="E28" s="31"/>
      <c r="F28" s="31" t="s">
        <v>58</v>
      </c>
      <c r="G28" s="31"/>
      <c r="H28" s="31" t="s">
        <v>560</v>
      </c>
      <c r="I28" s="36"/>
      <c r="J28" s="36"/>
      <c r="K28" s="31"/>
      <c r="L28" s="50" t="e">
        <f>IF(COUNTIFS(#REF!,A28)=0,"",_xlfn.MAXIFS(#REF!,#REF!,A28))</f>
        <v>#REF!</v>
      </c>
      <c r="M28" s="51" t="str">
        <f>IFERROR(INDEX(#REF!,MATCH(A28&amp;"|"&amp;TEXT(L28,"YYYYMMDD"),#REF!,0)),"")</f>
        <v/>
      </c>
      <c r="N28" s="51" t="e">
        <f>IF(L28="","Disponible (aucun mouvement)",IFERROR(INDEX(#REF!,MATCH(A28&amp;"|"&amp;TEXT(L28,"YYYYMMDD"),#REF!,0)),"Disponible"))</f>
        <v>#REF!</v>
      </c>
      <c r="O28" s="51" t="e">
        <f t="shared" ca="1" si="0"/>
        <v>#REF!</v>
      </c>
    </row>
    <row r="29" spans="1:15" x14ac:dyDescent="0.25">
      <c r="A29" s="25" t="s">
        <v>607</v>
      </c>
      <c r="B29" s="25" t="s">
        <v>608</v>
      </c>
      <c r="C29" s="25">
        <v>1</v>
      </c>
      <c r="D29" s="25"/>
      <c r="E29" s="25"/>
      <c r="F29" s="25" t="s">
        <v>58</v>
      </c>
      <c r="G29" s="25"/>
      <c r="H29" s="25" t="s">
        <v>560</v>
      </c>
      <c r="I29" s="30"/>
      <c r="J29" s="30"/>
      <c r="K29" s="25"/>
      <c r="L29" s="50" t="e">
        <f>IF(COUNTIFS(#REF!,A29)=0,"",_xlfn.MAXIFS(#REF!,#REF!,A29))</f>
        <v>#REF!</v>
      </c>
      <c r="M29" s="51" t="str">
        <f>IFERROR(INDEX(#REF!,MATCH(A29&amp;"|"&amp;TEXT(L29,"YYYYMMDD"),#REF!,0)),"")</f>
        <v/>
      </c>
      <c r="N29" s="51" t="e">
        <f>IF(L29="","Disponible (aucun mouvement)",IFERROR(INDEX(#REF!,MATCH(A29&amp;"|"&amp;TEXT(L29,"YYYYMMDD"),#REF!,0)),"Disponible"))</f>
        <v>#REF!</v>
      </c>
      <c r="O29" s="51" t="e">
        <f t="shared" ca="1" si="0"/>
        <v>#REF!</v>
      </c>
    </row>
    <row r="30" spans="1:15" x14ac:dyDescent="0.25">
      <c r="A30" s="31" t="s">
        <v>609</v>
      </c>
      <c r="B30" s="31" t="s">
        <v>610</v>
      </c>
      <c r="C30" s="31">
        <v>1</v>
      </c>
      <c r="D30" s="31"/>
      <c r="E30" s="31"/>
      <c r="F30" s="31" t="s">
        <v>58</v>
      </c>
      <c r="G30" s="31"/>
      <c r="H30" s="31" t="s">
        <v>560</v>
      </c>
      <c r="I30" s="36"/>
      <c r="J30" s="36"/>
      <c r="K30" s="31"/>
      <c r="L30" s="50" t="e">
        <f>IF(COUNTIFS(#REF!,A30)=0,"",_xlfn.MAXIFS(#REF!,#REF!,A30))</f>
        <v>#REF!</v>
      </c>
      <c r="M30" s="51" t="str">
        <f>IFERROR(INDEX(#REF!,MATCH(A30&amp;"|"&amp;TEXT(L30,"YYYYMMDD"),#REF!,0)),"")</f>
        <v/>
      </c>
      <c r="N30" s="51" t="e">
        <f>IF(L30="","Disponible (aucun mouvement)",IFERROR(INDEX(#REF!,MATCH(A30&amp;"|"&amp;TEXT(L30,"YYYYMMDD"),#REF!,0)),"Disponible"))</f>
        <v>#REF!</v>
      </c>
      <c r="O30" s="51" t="e">
        <f t="shared" ca="1" si="0"/>
        <v>#REF!</v>
      </c>
    </row>
    <row r="31" spans="1:15" x14ac:dyDescent="0.25">
      <c r="A31" s="25" t="s">
        <v>611</v>
      </c>
      <c r="B31" s="25" t="s">
        <v>612</v>
      </c>
      <c r="C31" s="25">
        <v>1</v>
      </c>
      <c r="D31" s="25"/>
      <c r="E31" s="25"/>
      <c r="F31" s="25" t="s">
        <v>58</v>
      </c>
      <c r="G31" s="25"/>
      <c r="H31" s="25" t="s">
        <v>560</v>
      </c>
      <c r="I31" s="30"/>
      <c r="J31" s="30"/>
      <c r="K31" s="25"/>
      <c r="L31" s="50" t="e">
        <f>IF(COUNTIFS(#REF!,A31)=0,"",_xlfn.MAXIFS(#REF!,#REF!,A31))</f>
        <v>#REF!</v>
      </c>
      <c r="M31" s="51" t="str">
        <f>IFERROR(INDEX(#REF!,MATCH(A31&amp;"|"&amp;TEXT(L31,"YYYYMMDD"),#REF!,0)),"")</f>
        <v/>
      </c>
      <c r="N31" s="51" t="e">
        <f>IF(L31="","Disponible (aucun mouvement)",IFERROR(INDEX(#REF!,MATCH(A31&amp;"|"&amp;TEXT(L31,"YYYYMMDD"),#REF!,0)),"Disponible"))</f>
        <v>#REF!</v>
      </c>
      <c r="O31" s="51" t="e">
        <f t="shared" ca="1" si="0"/>
        <v>#REF!</v>
      </c>
    </row>
    <row r="32" spans="1:15" x14ac:dyDescent="0.25">
      <c r="A32" s="31" t="s">
        <v>613</v>
      </c>
      <c r="B32" s="31" t="s">
        <v>614</v>
      </c>
      <c r="C32" s="31">
        <v>1</v>
      </c>
      <c r="D32" s="31"/>
      <c r="E32" s="31"/>
      <c r="F32" s="31" t="s">
        <v>58</v>
      </c>
      <c r="G32" s="31"/>
      <c r="H32" s="31" t="s">
        <v>560</v>
      </c>
      <c r="I32" s="36"/>
      <c r="J32" s="36"/>
      <c r="K32" s="31"/>
      <c r="L32" s="50" t="e">
        <f>IF(COUNTIFS(#REF!,A32)=0,"",_xlfn.MAXIFS(#REF!,#REF!,A32))</f>
        <v>#REF!</v>
      </c>
      <c r="M32" s="51" t="str">
        <f>IFERROR(INDEX(#REF!,MATCH(A32&amp;"|"&amp;TEXT(L32,"YYYYMMDD"),#REF!,0)),"")</f>
        <v/>
      </c>
      <c r="N32" s="51" t="e">
        <f>IF(L32="","Disponible (aucun mouvement)",IFERROR(INDEX(#REF!,MATCH(A32&amp;"|"&amp;TEXT(L32,"YYYYMMDD"),#REF!,0)),"Disponible"))</f>
        <v>#REF!</v>
      </c>
      <c r="O32" s="51" t="e">
        <f t="shared" ca="1" si="0"/>
        <v>#REF!</v>
      </c>
    </row>
    <row r="33" spans="1:15" x14ac:dyDescent="0.25">
      <c r="A33" s="25" t="s">
        <v>615</v>
      </c>
      <c r="B33" s="25" t="s">
        <v>616</v>
      </c>
      <c r="C33" s="25">
        <v>1</v>
      </c>
      <c r="D33" s="25"/>
      <c r="E33" s="25"/>
      <c r="F33" s="25" t="s">
        <v>58</v>
      </c>
      <c r="G33" s="25"/>
      <c r="H33" s="25" t="s">
        <v>560</v>
      </c>
      <c r="I33" s="30"/>
      <c r="J33" s="30"/>
      <c r="K33" s="25"/>
      <c r="L33" s="50" t="e">
        <f>IF(COUNTIFS(#REF!,A33)=0,"",_xlfn.MAXIFS(#REF!,#REF!,A33))</f>
        <v>#REF!</v>
      </c>
      <c r="M33" s="51" t="str">
        <f>IFERROR(INDEX(#REF!,MATCH(A33&amp;"|"&amp;TEXT(L33,"YYYYMMDD"),#REF!,0)),"")</f>
        <v/>
      </c>
      <c r="N33" s="51" t="e">
        <f>IF(L33="","Disponible (aucun mouvement)",IFERROR(INDEX(#REF!,MATCH(A33&amp;"|"&amp;TEXT(L33,"YYYYMMDD"),#REF!,0)),"Disponible"))</f>
        <v>#REF!</v>
      </c>
      <c r="O33" s="51" t="e">
        <f t="shared" ca="1" si="0"/>
        <v>#REF!</v>
      </c>
    </row>
    <row r="34" spans="1:15" x14ac:dyDescent="0.25">
      <c r="A34" s="31" t="s">
        <v>617</v>
      </c>
      <c r="B34" s="31" t="s">
        <v>618</v>
      </c>
      <c r="C34" s="31">
        <v>1</v>
      </c>
      <c r="D34" s="31"/>
      <c r="E34" s="31"/>
      <c r="F34" s="31" t="s">
        <v>58</v>
      </c>
      <c r="G34" s="31"/>
      <c r="H34" s="31" t="s">
        <v>560</v>
      </c>
      <c r="I34" s="36"/>
      <c r="J34" s="36"/>
      <c r="K34" s="31"/>
      <c r="L34" s="50" t="e">
        <f>IF(COUNTIFS(#REF!,A34)=0,"",_xlfn.MAXIFS(#REF!,#REF!,A34))</f>
        <v>#REF!</v>
      </c>
      <c r="M34" s="51" t="str">
        <f>IFERROR(INDEX(#REF!,MATCH(A34&amp;"|"&amp;TEXT(L34,"YYYYMMDD"),#REF!,0)),"")</f>
        <v/>
      </c>
      <c r="N34" s="51" t="e">
        <f>IF(L34="","Disponible (aucun mouvement)",IFERROR(INDEX(#REF!,MATCH(A34&amp;"|"&amp;TEXT(L34,"YYYYMMDD"),#REF!,0)),"Disponible"))</f>
        <v>#REF!</v>
      </c>
      <c r="O34" s="51" t="e">
        <f t="shared" ca="1" si="0"/>
        <v>#REF!</v>
      </c>
    </row>
    <row r="35" spans="1:15" x14ac:dyDescent="0.25">
      <c r="A35" s="25" t="s">
        <v>619</v>
      </c>
      <c r="B35" s="25" t="s">
        <v>620</v>
      </c>
      <c r="C35" s="25">
        <v>1</v>
      </c>
      <c r="D35" s="25"/>
      <c r="E35" s="25"/>
      <c r="F35" s="25" t="s">
        <v>58</v>
      </c>
      <c r="G35" s="25"/>
      <c r="H35" s="25" t="s">
        <v>560</v>
      </c>
      <c r="I35" s="30"/>
      <c r="J35" s="30"/>
      <c r="K35" s="25"/>
      <c r="L35" s="50" t="e">
        <f>IF(COUNTIFS(#REF!,A35)=0,"",_xlfn.MAXIFS(#REF!,#REF!,A35))</f>
        <v>#REF!</v>
      </c>
      <c r="M35" s="51" t="str">
        <f>IFERROR(INDEX(#REF!,MATCH(A35&amp;"|"&amp;TEXT(L35,"YYYYMMDD"),#REF!,0)),"")</f>
        <v/>
      </c>
      <c r="N35" s="51" t="e">
        <f>IF(L35="","Disponible (aucun mouvement)",IFERROR(INDEX(#REF!,MATCH(A35&amp;"|"&amp;TEXT(L35,"YYYYMMDD"),#REF!,0)),"Disponible"))</f>
        <v>#REF!</v>
      </c>
      <c r="O35" s="51" t="e">
        <f t="shared" ca="1" si="0"/>
        <v>#REF!</v>
      </c>
    </row>
    <row r="36" spans="1:15" x14ac:dyDescent="0.25">
      <c r="A36" s="31" t="s">
        <v>621</v>
      </c>
      <c r="B36" s="31" t="s">
        <v>622</v>
      </c>
      <c r="C36" s="31">
        <v>1</v>
      </c>
      <c r="D36" s="31"/>
      <c r="E36" s="31"/>
      <c r="F36" s="31" t="s">
        <v>58</v>
      </c>
      <c r="G36" s="31"/>
      <c r="H36" s="31" t="s">
        <v>560</v>
      </c>
      <c r="I36" s="36"/>
      <c r="J36" s="36"/>
      <c r="K36" s="31"/>
      <c r="L36" s="50" t="e">
        <f>IF(COUNTIFS(#REF!,A36)=0,"",_xlfn.MAXIFS(#REF!,#REF!,A36))</f>
        <v>#REF!</v>
      </c>
      <c r="M36" s="51" t="str">
        <f>IFERROR(INDEX(#REF!,MATCH(A36&amp;"|"&amp;TEXT(L36,"YYYYMMDD"),#REF!,0)),"")</f>
        <v/>
      </c>
      <c r="N36" s="51" t="e">
        <f>IF(L36="","Disponible (aucun mouvement)",IFERROR(INDEX(#REF!,MATCH(A36&amp;"|"&amp;TEXT(L36,"YYYYMMDD"),#REF!,0)),"Disponible"))</f>
        <v>#REF!</v>
      </c>
      <c r="O36" s="51" t="e">
        <f t="shared" ca="1" si="0"/>
        <v>#REF!</v>
      </c>
    </row>
    <row r="37" spans="1:15" x14ac:dyDescent="0.25">
      <c r="A37" s="25" t="s">
        <v>623</v>
      </c>
      <c r="B37" s="25" t="s">
        <v>624</v>
      </c>
      <c r="C37" s="25">
        <v>1</v>
      </c>
      <c r="D37" s="25"/>
      <c r="E37" s="25"/>
      <c r="F37" s="25" t="s">
        <v>58</v>
      </c>
      <c r="G37" s="25"/>
      <c r="H37" s="25" t="s">
        <v>560</v>
      </c>
      <c r="I37" s="30"/>
      <c r="J37" s="30"/>
      <c r="K37" s="25"/>
      <c r="L37" s="50" t="e">
        <f>IF(COUNTIFS(#REF!,A37)=0,"",_xlfn.MAXIFS(#REF!,#REF!,A37))</f>
        <v>#REF!</v>
      </c>
      <c r="M37" s="51" t="str">
        <f>IFERROR(INDEX(#REF!,MATCH(A37&amp;"|"&amp;TEXT(L37,"YYYYMMDD"),#REF!,0)),"")</f>
        <v/>
      </c>
      <c r="N37" s="51" t="e">
        <f>IF(L37="","Disponible (aucun mouvement)",IFERROR(INDEX(#REF!,MATCH(A37&amp;"|"&amp;TEXT(L37,"YYYYMMDD"),#REF!,0)),"Disponible"))</f>
        <v>#REF!</v>
      </c>
      <c r="O37" s="51" t="e">
        <f t="shared" ca="1" si="0"/>
        <v>#REF!</v>
      </c>
    </row>
    <row r="38" spans="1:15" x14ac:dyDescent="0.25">
      <c r="A38" s="31" t="s">
        <v>625</v>
      </c>
      <c r="B38" s="31" t="s">
        <v>626</v>
      </c>
      <c r="C38" s="31">
        <v>1</v>
      </c>
      <c r="D38" s="31"/>
      <c r="E38" s="31"/>
      <c r="F38" s="31" t="s">
        <v>58</v>
      </c>
      <c r="G38" s="31"/>
      <c r="H38" s="31" t="s">
        <v>560</v>
      </c>
      <c r="I38" s="36"/>
      <c r="J38" s="36"/>
      <c r="K38" s="31"/>
      <c r="L38" s="50" t="e">
        <f>IF(COUNTIFS(#REF!,A38)=0,"",_xlfn.MAXIFS(#REF!,#REF!,A38))</f>
        <v>#REF!</v>
      </c>
      <c r="M38" s="51" t="str">
        <f>IFERROR(INDEX(#REF!,MATCH(A38&amp;"|"&amp;TEXT(L38,"YYYYMMDD"),#REF!,0)),"")</f>
        <v/>
      </c>
      <c r="N38" s="51" t="e">
        <f>IF(L38="","Disponible (aucun mouvement)",IFERROR(INDEX(#REF!,MATCH(A38&amp;"|"&amp;TEXT(L38,"YYYYMMDD"),#REF!,0)),"Disponible"))</f>
        <v>#REF!</v>
      </c>
      <c r="O38" s="51" t="e">
        <f t="shared" ca="1" si="0"/>
        <v>#REF!</v>
      </c>
    </row>
    <row r="39" spans="1:15" x14ac:dyDescent="0.25">
      <c r="A39" s="25" t="s">
        <v>627</v>
      </c>
      <c r="B39" s="25" t="s">
        <v>628</v>
      </c>
      <c r="C39" s="25">
        <v>1</v>
      </c>
      <c r="D39" s="25"/>
      <c r="E39" s="25"/>
      <c r="F39" s="25" t="s">
        <v>58</v>
      </c>
      <c r="G39" s="25"/>
      <c r="H39" s="25" t="s">
        <v>560</v>
      </c>
      <c r="I39" s="30"/>
      <c r="J39" s="30"/>
      <c r="K39" s="25"/>
      <c r="L39" s="50" t="e">
        <f>IF(COUNTIFS(#REF!,A39)=0,"",_xlfn.MAXIFS(#REF!,#REF!,A39))</f>
        <v>#REF!</v>
      </c>
      <c r="M39" s="51" t="str">
        <f>IFERROR(INDEX(#REF!,MATCH(A39&amp;"|"&amp;TEXT(L39,"YYYYMMDD"),#REF!,0)),"")</f>
        <v/>
      </c>
      <c r="N39" s="51" t="e">
        <f>IF(L39="","Disponible (aucun mouvement)",IFERROR(INDEX(#REF!,MATCH(A39&amp;"|"&amp;TEXT(L39,"YYYYMMDD"),#REF!,0)),"Disponible"))</f>
        <v>#REF!</v>
      </c>
      <c r="O39" s="51" t="e">
        <f t="shared" ca="1" si="0"/>
        <v>#REF!</v>
      </c>
    </row>
    <row r="40" spans="1:15" x14ac:dyDescent="0.25">
      <c r="A40" s="31" t="s">
        <v>629</v>
      </c>
      <c r="B40" s="31" t="s">
        <v>630</v>
      </c>
      <c r="C40" s="31">
        <v>1</v>
      </c>
      <c r="D40" s="31"/>
      <c r="E40" s="31"/>
      <c r="F40" s="31" t="s">
        <v>58</v>
      </c>
      <c r="G40" s="31"/>
      <c r="H40" s="31" t="s">
        <v>560</v>
      </c>
      <c r="I40" s="36"/>
      <c r="J40" s="36"/>
      <c r="K40" s="31"/>
      <c r="L40" s="50" t="e">
        <f>IF(COUNTIFS(#REF!,A40)=0,"",_xlfn.MAXIFS(#REF!,#REF!,A40))</f>
        <v>#REF!</v>
      </c>
      <c r="M40" s="51" t="str">
        <f>IFERROR(INDEX(#REF!,MATCH(A40&amp;"|"&amp;TEXT(L40,"YYYYMMDD"),#REF!,0)),"")</f>
        <v/>
      </c>
      <c r="N40" s="51" t="e">
        <f>IF(L40="","Disponible (aucun mouvement)",IFERROR(INDEX(#REF!,MATCH(A40&amp;"|"&amp;TEXT(L40,"YYYYMMDD"),#REF!,0)),"Disponible"))</f>
        <v>#REF!</v>
      </c>
      <c r="O40" s="51" t="e">
        <f t="shared" ca="1" si="0"/>
        <v>#REF!</v>
      </c>
    </row>
    <row r="41" spans="1:15" x14ac:dyDescent="0.25">
      <c r="A41" s="25" t="s">
        <v>631</v>
      </c>
      <c r="B41" s="25" t="s">
        <v>632</v>
      </c>
      <c r="C41" s="25">
        <v>1</v>
      </c>
      <c r="D41" s="25"/>
      <c r="E41" s="25"/>
      <c r="F41" s="25" t="s">
        <v>58</v>
      </c>
      <c r="G41" s="25"/>
      <c r="H41" s="25" t="s">
        <v>560</v>
      </c>
      <c r="I41" s="30"/>
      <c r="J41" s="30"/>
      <c r="K41" s="25"/>
      <c r="L41" s="50" t="e">
        <f>IF(COUNTIFS(#REF!,A41)=0,"",_xlfn.MAXIFS(#REF!,#REF!,A41))</f>
        <v>#REF!</v>
      </c>
      <c r="M41" s="51" t="str">
        <f>IFERROR(INDEX(#REF!,MATCH(A41&amp;"|"&amp;TEXT(L41,"YYYYMMDD"),#REF!,0)),"")</f>
        <v/>
      </c>
      <c r="N41" s="51" t="e">
        <f>IF(L41="","Disponible (aucun mouvement)",IFERROR(INDEX(#REF!,MATCH(A41&amp;"|"&amp;TEXT(L41,"YYYYMMDD"),#REF!,0)),"Disponible"))</f>
        <v>#REF!</v>
      </c>
      <c r="O41" s="51" t="e">
        <f t="shared" ca="1" si="0"/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Q34"/>
  <sheetViews>
    <sheetView workbookViewId="0"/>
  </sheetViews>
  <sheetFormatPr baseColWidth="10" defaultRowHeight="15" x14ac:dyDescent="0.25"/>
  <sheetData>
    <row r="1" spans="1:17" ht="20.25" x14ac:dyDescent="0.25">
      <c r="A1" s="22" t="s">
        <v>633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28" x14ac:dyDescent="0.25">
      <c r="A2" s="23" t="s">
        <v>634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4" spans="1:17" ht="66" x14ac:dyDescent="0.25">
      <c r="A4" s="24" t="s">
        <v>522</v>
      </c>
      <c r="B4" s="24" t="s">
        <v>635</v>
      </c>
      <c r="C4" s="24" t="s">
        <v>636</v>
      </c>
      <c r="D4" s="24" t="s">
        <v>637</v>
      </c>
      <c r="E4" s="24" t="s">
        <v>638</v>
      </c>
      <c r="F4" s="24" t="s">
        <v>534</v>
      </c>
      <c r="G4" s="24" t="s">
        <v>639</v>
      </c>
      <c r="H4" s="24" t="s">
        <v>640</v>
      </c>
      <c r="I4" s="24" t="s">
        <v>641</v>
      </c>
      <c r="J4" s="24" t="s">
        <v>642</v>
      </c>
      <c r="K4" s="24" t="s">
        <v>643</v>
      </c>
      <c r="L4" s="24" t="s">
        <v>644</v>
      </c>
      <c r="M4" s="24" t="s">
        <v>645</v>
      </c>
      <c r="N4" s="24" t="s">
        <v>646</v>
      </c>
      <c r="O4" s="24" t="s">
        <v>647</v>
      </c>
      <c r="P4" s="24" t="s">
        <v>648</v>
      </c>
      <c r="Q4" s="24" t="s">
        <v>80</v>
      </c>
    </row>
    <row r="5" spans="1:17" x14ac:dyDescent="0.25">
      <c r="A5" s="52" t="s">
        <v>649</v>
      </c>
      <c r="B5" s="52" t="s">
        <v>650</v>
      </c>
      <c r="C5" s="52" t="s">
        <v>651</v>
      </c>
      <c r="D5" s="52" t="s">
        <v>652</v>
      </c>
      <c r="E5" s="52" t="s">
        <v>653</v>
      </c>
      <c r="F5" s="52" t="s">
        <v>654</v>
      </c>
      <c r="G5" s="52" t="s">
        <v>655</v>
      </c>
      <c r="H5" s="52" t="s">
        <v>655</v>
      </c>
      <c r="I5" s="52" t="s">
        <v>655</v>
      </c>
      <c r="J5" s="52"/>
      <c r="K5" s="53">
        <v>0</v>
      </c>
      <c r="L5" s="54">
        <v>46023</v>
      </c>
      <c r="M5" s="54"/>
      <c r="N5" s="52" t="s">
        <v>85</v>
      </c>
      <c r="O5" s="55" t="e">
        <f>COUNTIFS(#REF!,B5,#REF!,"")</f>
        <v>#REF!</v>
      </c>
      <c r="P5" s="55">
        <f>IFERROR(SUMIFS(#REF!,#REF!,A5),0)</f>
        <v>0</v>
      </c>
      <c r="Q5" s="52" t="s">
        <v>656</v>
      </c>
    </row>
    <row r="6" spans="1:17" x14ac:dyDescent="0.25">
      <c r="A6" s="52" t="s">
        <v>657</v>
      </c>
      <c r="B6" s="52" t="s">
        <v>658</v>
      </c>
      <c r="C6" s="52" t="s">
        <v>659</v>
      </c>
      <c r="D6" s="52" t="s">
        <v>660</v>
      </c>
      <c r="E6" s="52" t="s">
        <v>660</v>
      </c>
      <c r="F6" s="52" t="s">
        <v>661</v>
      </c>
      <c r="G6" s="52" t="s">
        <v>655</v>
      </c>
      <c r="H6" s="52" t="s">
        <v>655</v>
      </c>
      <c r="I6" s="52" t="s">
        <v>655</v>
      </c>
      <c r="J6" s="52"/>
      <c r="K6" s="53">
        <v>0</v>
      </c>
      <c r="L6" s="54">
        <v>46023</v>
      </c>
      <c r="M6" s="54"/>
      <c r="N6" s="52" t="s">
        <v>85</v>
      </c>
      <c r="O6" s="55" t="e">
        <f>COUNTIFS(#REF!,B6,#REF!,"")</f>
        <v>#REF!</v>
      </c>
      <c r="P6" s="55">
        <f>IFERROR(SUMIFS(#REF!,#REF!,A6),0)</f>
        <v>0</v>
      </c>
      <c r="Q6" s="52" t="s">
        <v>656</v>
      </c>
    </row>
    <row r="7" spans="1:17" x14ac:dyDescent="0.25">
      <c r="A7" s="52" t="s">
        <v>662</v>
      </c>
      <c r="B7" s="52" t="s">
        <v>663</v>
      </c>
      <c r="C7" s="52" t="s">
        <v>664</v>
      </c>
      <c r="D7" s="52" t="s">
        <v>665</v>
      </c>
      <c r="E7" s="52" t="s">
        <v>665</v>
      </c>
      <c r="F7" s="52" t="s">
        <v>666</v>
      </c>
      <c r="G7" s="52" t="s">
        <v>655</v>
      </c>
      <c r="H7" s="52" t="s">
        <v>655</v>
      </c>
      <c r="I7" s="52" t="s">
        <v>655</v>
      </c>
      <c r="J7" s="52"/>
      <c r="K7" s="53">
        <v>0</v>
      </c>
      <c r="L7" s="54">
        <v>46023</v>
      </c>
      <c r="M7" s="54"/>
      <c r="N7" s="52" t="s">
        <v>85</v>
      </c>
      <c r="O7" s="55" t="e">
        <f>COUNTIFS(#REF!,B7,#REF!,"")</f>
        <v>#REF!</v>
      </c>
      <c r="P7" s="55">
        <f>IFERROR(SUMIFS(#REF!,#REF!,A7),0)</f>
        <v>0</v>
      </c>
      <c r="Q7" s="52" t="s">
        <v>656</v>
      </c>
    </row>
    <row r="8" spans="1:17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5"/>
      <c r="L8" s="36"/>
      <c r="M8" s="36"/>
      <c r="N8" s="31"/>
      <c r="O8" s="48" t="e">
        <f>COUNTIFS(#REF!,B8,#REF!,"")</f>
        <v>#REF!</v>
      </c>
      <c r="P8" s="48">
        <f>IFERROR(SUMIFS(#REF!,#REF!,A8),0)</f>
        <v>0</v>
      </c>
      <c r="Q8" s="31"/>
    </row>
    <row r="9" spans="1:1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9"/>
      <c r="L9" s="30"/>
      <c r="M9" s="30"/>
      <c r="N9" s="25"/>
      <c r="O9" s="46" t="e">
        <f>COUNTIFS(#REF!,B9,#REF!,"")</f>
        <v>#REF!</v>
      </c>
      <c r="P9" s="46">
        <f>IFERROR(SUMIFS(#REF!,#REF!,A9),0)</f>
        <v>0</v>
      </c>
      <c r="Q9" s="25"/>
    </row>
    <row r="10" spans="1:17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5"/>
      <c r="L10" s="36"/>
      <c r="M10" s="36"/>
      <c r="N10" s="31"/>
      <c r="O10" s="48" t="e">
        <f>COUNTIFS(#REF!,B10,#REF!,"")</f>
        <v>#REF!</v>
      </c>
      <c r="P10" s="48">
        <f>IFERROR(SUMIFS(#REF!,#REF!,A10),0)</f>
        <v>0</v>
      </c>
      <c r="Q10" s="31"/>
    </row>
    <row r="11" spans="1:1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9"/>
      <c r="L11" s="30"/>
      <c r="M11" s="30"/>
      <c r="N11" s="25"/>
      <c r="O11" s="46" t="e">
        <f>COUNTIFS(#REF!,B11,#REF!,"")</f>
        <v>#REF!</v>
      </c>
      <c r="P11" s="46">
        <f>IFERROR(SUMIFS(#REF!,#REF!,A11),0)</f>
        <v>0</v>
      </c>
      <c r="Q11" s="25"/>
    </row>
    <row r="12" spans="1:1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5"/>
      <c r="L12" s="36"/>
      <c r="M12" s="36"/>
      <c r="N12" s="31"/>
      <c r="O12" s="48" t="e">
        <f>COUNTIFS(#REF!,B12,#REF!,"")</f>
        <v>#REF!</v>
      </c>
      <c r="P12" s="48">
        <f>IFERROR(SUMIFS(#REF!,#REF!,A12),0)</f>
        <v>0</v>
      </c>
      <c r="Q12" s="31"/>
    </row>
    <row r="13" spans="1:1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9"/>
      <c r="L13" s="30"/>
      <c r="M13" s="30"/>
      <c r="N13" s="25"/>
      <c r="O13" s="46" t="e">
        <f>COUNTIFS(#REF!,B13,#REF!,"")</f>
        <v>#REF!</v>
      </c>
      <c r="P13" s="46">
        <f>IFERROR(SUMIFS(#REF!,#REF!,A13),0)</f>
        <v>0</v>
      </c>
      <c r="Q13" s="25"/>
    </row>
    <row r="14" spans="1:17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5"/>
      <c r="L14" s="36"/>
      <c r="M14" s="36"/>
      <c r="N14" s="31"/>
      <c r="O14" s="48" t="e">
        <f>COUNTIFS(#REF!,B14,#REF!,"")</f>
        <v>#REF!</v>
      </c>
      <c r="P14" s="48">
        <f>IFERROR(SUMIFS(#REF!,#REF!,A14),0)</f>
        <v>0</v>
      </c>
      <c r="Q14" s="31"/>
    </row>
    <row r="15" spans="1:1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9"/>
      <c r="L15" s="30"/>
      <c r="M15" s="30"/>
      <c r="N15" s="25"/>
      <c r="O15" s="46" t="e">
        <f>COUNTIFS(#REF!,B15,#REF!,"")</f>
        <v>#REF!</v>
      </c>
      <c r="P15" s="46">
        <f>IFERROR(SUMIFS(#REF!,#REF!,A15),0)</f>
        <v>0</v>
      </c>
      <c r="Q15" s="25"/>
    </row>
    <row r="16" spans="1:17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5"/>
      <c r="L16" s="36"/>
      <c r="M16" s="36"/>
      <c r="N16" s="31"/>
      <c r="O16" s="48" t="e">
        <f>COUNTIFS(#REF!,B16,#REF!,"")</f>
        <v>#REF!</v>
      </c>
      <c r="P16" s="48">
        <f>IFERROR(SUMIFS(#REF!,#REF!,A16),0)</f>
        <v>0</v>
      </c>
      <c r="Q16" s="31"/>
    </row>
    <row r="17" spans="1:1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9"/>
      <c r="L17" s="30"/>
      <c r="M17" s="30"/>
      <c r="N17" s="25"/>
      <c r="O17" s="46" t="e">
        <f>COUNTIFS(#REF!,B17,#REF!,"")</f>
        <v>#REF!</v>
      </c>
      <c r="P17" s="46">
        <f>IFERROR(SUMIFS(#REF!,#REF!,A17),0)</f>
        <v>0</v>
      </c>
      <c r="Q17" s="25"/>
    </row>
    <row r="18" spans="1:17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5"/>
      <c r="L18" s="36"/>
      <c r="M18" s="36"/>
      <c r="N18" s="31"/>
      <c r="O18" s="48" t="e">
        <f>COUNTIFS(#REF!,B18,#REF!,"")</f>
        <v>#REF!</v>
      </c>
      <c r="P18" s="48">
        <f>IFERROR(SUMIFS(#REF!,#REF!,A18),0)</f>
        <v>0</v>
      </c>
      <c r="Q18" s="31"/>
    </row>
    <row r="19" spans="1:1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9"/>
      <c r="L19" s="30"/>
      <c r="M19" s="30"/>
      <c r="N19" s="25"/>
      <c r="O19" s="46" t="e">
        <f>COUNTIFS(#REF!,B19,#REF!,"")</f>
        <v>#REF!</v>
      </c>
      <c r="P19" s="46">
        <f>IFERROR(SUMIFS(#REF!,#REF!,A19),0)</f>
        <v>0</v>
      </c>
      <c r="Q19" s="25"/>
    </row>
    <row r="20" spans="1:17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5"/>
      <c r="L20" s="36"/>
      <c r="M20" s="36"/>
      <c r="N20" s="31"/>
      <c r="O20" s="48" t="e">
        <f>COUNTIFS(#REF!,B20,#REF!,"")</f>
        <v>#REF!</v>
      </c>
      <c r="P20" s="48">
        <f>IFERROR(SUMIFS(#REF!,#REF!,A20),0)</f>
        <v>0</v>
      </c>
      <c r="Q20" s="31"/>
    </row>
    <row r="21" spans="1:1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9"/>
      <c r="L21" s="30"/>
      <c r="M21" s="30"/>
      <c r="N21" s="25"/>
      <c r="O21" s="46" t="e">
        <f>COUNTIFS(#REF!,B21,#REF!,"")</f>
        <v>#REF!</v>
      </c>
      <c r="P21" s="46">
        <f>IFERROR(SUMIFS(#REF!,#REF!,A21),0)</f>
        <v>0</v>
      </c>
      <c r="Q21" s="25"/>
    </row>
    <row r="22" spans="1:17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5"/>
      <c r="L22" s="36"/>
      <c r="M22" s="36"/>
      <c r="N22" s="31"/>
      <c r="O22" s="48" t="e">
        <f>COUNTIFS(#REF!,B22,#REF!,"")</f>
        <v>#REF!</v>
      </c>
      <c r="P22" s="48">
        <f>IFERROR(SUMIFS(#REF!,#REF!,A22),0)</f>
        <v>0</v>
      </c>
      <c r="Q22" s="31"/>
    </row>
    <row r="23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9"/>
      <c r="L23" s="30"/>
      <c r="M23" s="30"/>
      <c r="N23" s="25"/>
      <c r="O23" s="46" t="e">
        <f>COUNTIFS(#REF!,B23,#REF!,"")</f>
        <v>#REF!</v>
      </c>
      <c r="P23" s="46">
        <f>IFERROR(SUMIFS(#REF!,#REF!,A23),0)</f>
        <v>0</v>
      </c>
      <c r="Q23" s="25"/>
    </row>
    <row r="24" spans="1:17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5"/>
      <c r="L24" s="36"/>
      <c r="M24" s="36"/>
      <c r="N24" s="31"/>
      <c r="O24" s="48" t="e">
        <f>COUNTIFS(#REF!,B24,#REF!,"")</f>
        <v>#REF!</v>
      </c>
      <c r="P24" s="48">
        <f>IFERROR(SUMIFS(#REF!,#REF!,A24),0)</f>
        <v>0</v>
      </c>
      <c r="Q24" s="31"/>
    </row>
    <row r="25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9"/>
      <c r="L25" s="30"/>
      <c r="M25" s="30"/>
      <c r="N25" s="25"/>
      <c r="O25" s="46" t="e">
        <f>COUNTIFS(#REF!,B25,#REF!,"")</f>
        <v>#REF!</v>
      </c>
      <c r="P25" s="46">
        <f>IFERROR(SUMIFS(#REF!,#REF!,A25),0)</f>
        <v>0</v>
      </c>
      <c r="Q25" s="25"/>
    </row>
    <row r="26" spans="1:17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5"/>
      <c r="L26" s="36"/>
      <c r="M26" s="36"/>
      <c r="N26" s="31"/>
      <c r="O26" s="48" t="e">
        <f>COUNTIFS(#REF!,B26,#REF!,"")</f>
        <v>#REF!</v>
      </c>
      <c r="P26" s="48">
        <f>IFERROR(SUMIFS(#REF!,#REF!,A26),0)</f>
        <v>0</v>
      </c>
      <c r="Q26" s="31"/>
    </row>
    <row r="27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9"/>
      <c r="L27" s="30"/>
      <c r="M27" s="30"/>
      <c r="N27" s="25"/>
      <c r="O27" s="46" t="e">
        <f>COUNTIFS(#REF!,B27,#REF!,"")</f>
        <v>#REF!</v>
      </c>
      <c r="P27" s="46">
        <f>IFERROR(SUMIFS(#REF!,#REF!,A27),0)</f>
        <v>0</v>
      </c>
      <c r="Q27" s="25"/>
    </row>
    <row r="28" spans="1:17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5"/>
      <c r="L28" s="36"/>
      <c r="M28" s="36"/>
      <c r="N28" s="31"/>
      <c r="O28" s="48" t="e">
        <f>COUNTIFS(#REF!,B28,#REF!,"")</f>
        <v>#REF!</v>
      </c>
      <c r="P28" s="48">
        <f>IFERROR(SUMIFS(#REF!,#REF!,A28),0)</f>
        <v>0</v>
      </c>
      <c r="Q28" s="31"/>
    </row>
    <row r="29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9"/>
      <c r="L29" s="30"/>
      <c r="M29" s="30"/>
      <c r="N29" s="25"/>
      <c r="O29" s="46" t="e">
        <f>COUNTIFS(#REF!,B29,#REF!,"")</f>
        <v>#REF!</v>
      </c>
      <c r="P29" s="46">
        <f>IFERROR(SUMIFS(#REF!,#REF!,A29),0)</f>
        <v>0</v>
      </c>
      <c r="Q29" s="25"/>
    </row>
    <row r="30" spans="1:17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5"/>
      <c r="L30" s="36"/>
      <c r="M30" s="36"/>
      <c r="N30" s="31"/>
      <c r="O30" s="48" t="e">
        <f>COUNTIFS(#REF!,B30,#REF!,"")</f>
        <v>#REF!</v>
      </c>
      <c r="P30" s="48">
        <f>IFERROR(SUMIFS(#REF!,#REF!,A30),0)</f>
        <v>0</v>
      </c>
      <c r="Q30" s="31"/>
    </row>
    <row r="3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9"/>
      <c r="L31" s="30"/>
      <c r="M31" s="30"/>
      <c r="N31" s="25"/>
      <c r="O31" s="46" t="e">
        <f>COUNTIFS(#REF!,B31,#REF!,"")</f>
        <v>#REF!</v>
      </c>
      <c r="P31" s="46">
        <f>IFERROR(SUMIFS(#REF!,#REF!,A31),0)</f>
        <v>0</v>
      </c>
      <c r="Q31" s="25"/>
    </row>
    <row r="32" spans="1:17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5"/>
      <c r="L32" s="36"/>
      <c r="M32" s="36"/>
      <c r="N32" s="31"/>
      <c r="O32" s="48" t="e">
        <f>COUNTIFS(#REF!,B32,#REF!,"")</f>
        <v>#REF!</v>
      </c>
      <c r="P32" s="48">
        <f>IFERROR(SUMIFS(#REF!,#REF!,A32),0)</f>
        <v>0</v>
      </c>
      <c r="Q32" s="31"/>
    </row>
    <row r="33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9"/>
      <c r="L33" s="30"/>
      <c r="M33" s="30"/>
      <c r="N33" s="25"/>
      <c r="O33" s="46" t="e">
        <f>COUNTIFS(#REF!,B33,#REF!,"")</f>
        <v>#REF!</v>
      </c>
      <c r="P33" s="46">
        <f>IFERROR(SUMIFS(#REF!,#REF!,A33),0)</f>
        <v>0</v>
      </c>
      <c r="Q33" s="25"/>
    </row>
    <row r="34" spans="1:1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5"/>
      <c r="L34" s="36"/>
      <c r="M34" s="36"/>
      <c r="N34" s="31"/>
      <c r="O34" s="48" t="e">
        <f>COUNTIFS(#REF!,B34,#REF!,"")</f>
        <v>#REF!</v>
      </c>
      <c r="P34" s="48">
        <f>IFERROR(SUMIFS(#REF!,#REF!,A34),0)</f>
        <v>0</v>
      </c>
      <c r="Q34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AH84"/>
  <sheetViews>
    <sheetView workbookViewId="0"/>
  </sheetViews>
  <sheetFormatPr baseColWidth="10" defaultRowHeight="15" x14ac:dyDescent="0.25"/>
  <sheetData>
    <row r="1" spans="1:34" ht="20.25" x14ac:dyDescent="0.25">
      <c r="A1" s="22" t="s">
        <v>667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34" ht="300" x14ac:dyDescent="0.25">
      <c r="A2" s="23" t="s">
        <v>668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4" spans="1:34" ht="66" x14ac:dyDescent="0.25">
      <c r="A4" s="24" t="s">
        <v>669</v>
      </c>
      <c r="B4" s="24" t="s">
        <v>670</v>
      </c>
      <c r="C4" s="24" t="s">
        <v>55</v>
      </c>
      <c r="D4" s="24" t="s">
        <v>522</v>
      </c>
      <c r="E4" s="24" t="s">
        <v>636</v>
      </c>
      <c r="F4" s="24" t="s">
        <v>637</v>
      </c>
      <c r="G4" s="24" t="s">
        <v>638</v>
      </c>
      <c r="H4" s="24" t="s">
        <v>534</v>
      </c>
      <c r="I4" s="24" t="s">
        <v>639</v>
      </c>
      <c r="J4" s="24" t="s">
        <v>640</v>
      </c>
      <c r="K4" s="24" t="s">
        <v>641</v>
      </c>
      <c r="L4" s="24" t="s">
        <v>671</v>
      </c>
      <c r="M4" s="24" t="s">
        <v>642</v>
      </c>
      <c r="N4" s="24" t="s">
        <v>672</v>
      </c>
      <c r="O4" s="24" t="s">
        <v>673</v>
      </c>
      <c r="P4" s="24" t="s">
        <v>69</v>
      </c>
      <c r="Q4" s="24" t="s">
        <v>674</v>
      </c>
      <c r="R4" s="24" t="s">
        <v>675</v>
      </c>
      <c r="S4" s="24" t="s">
        <v>519</v>
      </c>
      <c r="T4" s="24" t="s">
        <v>676</v>
      </c>
      <c r="U4" s="24" t="s">
        <v>677</v>
      </c>
      <c r="V4" s="24" t="s">
        <v>678</v>
      </c>
      <c r="W4" s="24" t="s">
        <v>679</v>
      </c>
      <c r="X4" s="24" t="s">
        <v>680</v>
      </c>
      <c r="Y4" s="24" t="s">
        <v>80</v>
      </c>
      <c r="Z4" s="24" t="s">
        <v>681</v>
      </c>
      <c r="AA4" s="24" t="s">
        <v>34</v>
      </c>
      <c r="AB4" s="24" t="s">
        <v>682</v>
      </c>
      <c r="AC4" s="24" t="s">
        <v>683</v>
      </c>
      <c r="AD4" s="24" t="s">
        <v>684</v>
      </c>
      <c r="AE4" s="24" t="s">
        <v>685</v>
      </c>
      <c r="AF4" s="24" t="s">
        <v>686</v>
      </c>
      <c r="AG4" s="24" t="s">
        <v>687</v>
      </c>
      <c r="AH4" s="24" t="s">
        <v>688</v>
      </c>
    </row>
    <row r="5" spans="1:34" x14ac:dyDescent="0.25">
      <c r="A5" s="51" t="str">
        <f t="shared" ref="A5:A36" si="0">"MVT-"&amp;TEXT(ROW()-4,"0000")</f>
        <v>MVT-0001</v>
      </c>
      <c r="B5" s="37">
        <v>46042</v>
      </c>
      <c r="C5" s="38" t="s">
        <v>650</v>
      </c>
      <c r="D5" s="51" t="str">
        <f>IFERROR(INDEX(#REF!,MATCH(C5,#REF!,0)),"")</f>
        <v/>
      </c>
      <c r="E5" s="51" t="str">
        <f>IFERROR(INDEX(#REF!,MATCH(C5,#REF!,0)),"")</f>
        <v/>
      </c>
      <c r="F5" s="51" t="str">
        <f>IFERROR(INDEX(#REF!,MATCH(C5,#REF!,0)),"")</f>
        <v/>
      </c>
      <c r="G5" s="51" t="str">
        <f>IFERROR(INDEX(#REF!,MATCH(C5,#REF!,0)),"")</f>
        <v/>
      </c>
      <c r="H5" s="51" t="str">
        <f>IFERROR(INDEX(#REF!,MATCH(C5,#REF!,0)),"")</f>
        <v/>
      </c>
      <c r="I5" s="51" t="str">
        <f>IFERROR(INDEX(#REF!,MATCH(C5,#REF!,0)),"")</f>
        <v/>
      </c>
      <c r="J5" s="51" t="str">
        <f>IFERROR(INDEX(#REF!,MATCH(C5,#REF!,0)),"")</f>
        <v/>
      </c>
      <c r="K5" s="51" t="str">
        <f>IFERROR(INDEX(#REF!,MATCH(C5,#REF!,0)),"")</f>
        <v/>
      </c>
      <c r="L5" s="38" t="s">
        <v>689</v>
      </c>
      <c r="M5" s="38"/>
      <c r="N5" s="38" t="s">
        <v>84</v>
      </c>
      <c r="O5" s="38" t="s">
        <v>524</v>
      </c>
      <c r="P5" s="51" t="str">
        <f>IFERROR(INDEX(#REF!,MATCH(O5,#REF!,0)),"")</f>
        <v/>
      </c>
      <c r="Q5" s="51" t="str">
        <f>IFERROR(INDEX(#REF!,MATCH(O5,#REF!,0)),"")</f>
        <v/>
      </c>
      <c r="R5" s="51" t="str">
        <f t="shared" ref="R5:R36" si="1">O5</f>
        <v>EX-0000</v>
      </c>
      <c r="S5" s="40">
        <v>1</v>
      </c>
      <c r="T5" s="38" t="s">
        <v>58</v>
      </c>
      <c r="U5" s="38"/>
      <c r="V5" s="37">
        <v>46073</v>
      </c>
      <c r="W5" s="37"/>
      <c r="X5" s="51">
        <f t="shared" ref="X5:X36" ca="1" si="2">IF(W5&lt;&gt;"",W5-B5,IF(B5&lt;&gt;"",TODAY()-B5,""))</f>
        <v>191</v>
      </c>
      <c r="Y5" s="38" t="s">
        <v>528</v>
      </c>
      <c r="Z5" s="38"/>
      <c r="AA5" s="51" t="str">
        <f t="shared" ref="AA5:AA36" ca="1" si="3">IF(O5="","",IF(W5&lt;&gt;"",IF(OR(U5="Perdu",U5="Vole",U5="Reforme",U5="En maintenance",U5="En reparation"),U5,"Disponible"),IF(AND(V5&lt;&gt;"",TODAY()&gt;V5),"En retard","Affecte")))</f>
        <v>En retard</v>
      </c>
      <c r="AB5" s="51" t="str">
        <f t="shared" ref="AB5:AB36" ca="1" si="4">IF(AND(O5&lt;&gt;"",W5="",V5&lt;&gt;"",TODAY()&gt;V5),"OUI","NON")</f>
        <v>OUI</v>
      </c>
      <c r="AC5" s="51" t="str">
        <f t="shared" ref="AC5:AC36" si="5">IF(O5&lt;&gt;"",O5&amp;"|"&amp;TEXT(B5,"YYYYMMDD"),"")</f>
        <v>EX-0000|20260120</v>
      </c>
      <c r="AD5" s="51">
        <f>IF(O5&lt;&gt;"",COUNTIFS($O$5:O5,O5),"")</f>
        <v>1</v>
      </c>
      <c r="AE5" s="51" t="str">
        <f t="shared" ref="AE5:AE36" si="6">IF(O5&lt;&gt;"",O5&amp;"|R"&amp;AD5,"")</f>
        <v>EX-0000|R1</v>
      </c>
      <c r="AF5" s="51">
        <f ca="1">IF(AB5="OUI",COUNTIFS($AB$5:AB5,"OUI"),"")</f>
        <v>1</v>
      </c>
      <c r="AG5" s="51" t="str">
        <f t="shared" ref="AG5:AG36" ca="1" si="7">IF(AB5="OUI","RETARD|R"&amp;AF5,"")</f>
        <v>RETARD|R1</v>
      </c>
      <c r="AH5" s="51" t="str">
        <f t="shared" ref="AH5:AH36" si="8">IF(AND(O5&lt;&gt;"",W5=""),IF(COUNTIFS($O$5:$O$84,O5,$W$5:$W$84,"")&gt;1,"OUI","NON"),"NON")</f>
        <v>NON</v>
      </c>
    </row>
    <row r="6" spans="1:34" x14ac:dyDescent="0.25">
      <c r="A6" s="51" t="str">
        <f t="shared" si="0"/>
        <v>MVT-0002</v>
      </c>
      <c r="B6" s="36"/>
      <c r="C6" s="31"/>
      <c r="D6" s="51" t="str">
        <f>IFERROR(INDEX(#REF!,MATCH(C6,#REF!,0)),"")</f>
        <v/>
      </c>
      <c r="E6" s="51" t="str">
        <f>IFERROR(INDEX(#REF!,MATCH(C6,#REF!,0)),"")</f>
        <v/>
      </c>
      <c r="F6" s="51" t="str">
        <f>IFERROR(INDEX(#REF!,MATCH(C6,#REF!,0)),"")</f>
        <v/>
      </c>
      <c r="G6" s="51" t="str">
        <f>IFERROR(INDEX(#REF!,MATCH(C6,#REF!,0)),"")</f>
        <v/>
      </c>
      <c r="H6" s="51" t="str">
        <f>IFERROR(INDEX(#REF!,MATCH(C6,#REF!,0)),"")</f>
        <v/>
      </c>
      <c r="I6" s="51" t="str">
        <f>IFERROR(INDEX(#REF!,MATCH(C6,#REF!,0)),"")</f>
        <v/>
      </c>
      <c r="J6" s="51" t="str">
        <f>IFERROR(INDEX(#REF!,MATCH(C6,#REF!,0)),"")</f>
        <v/>
      </c>
      <c r="K6" s="51" t="str">
        <f>IFERROR(INDEX(#REF!,MATCH(C6,#REF!,0)),"")</f>
        <v/>
      </c>
      <c r="L6" s="31"/>
      <c r="M6" s="31"/>
      <c r="N6" s="31"/>
      <c r="O6" s="31"/>
      <c r="P6" s="51" t="str">
        <f>IFERROR(INDEX(#REF!,MATCH(O6,#REF!,0)),"")</f>
        <v/>
      </c>
      <c r="Q6" s="51" t="str">
        <f>IFERROR(INDEX(#REF!,MATCH(O6,#REF!,0)),"")</f>
        <v/>
      </c>
      <c r="R6" s="51">
        <f t="shared" si="1"/>
        <v>0</v>
      </c>
      <c r="S6" s="35"/>
      <c r="T6" s="31"/>
      <c r="U6" s="31"/>
      <c r="V6" s="36"/>
      <c r="W6" s="36"/>
      <c r="X6" s="51" t="str">
        <f t="shared" ca="1" si="2"/>
        <v/>
      </c>
      <c r="Y6" s="31"/>
      <c r="Z6" s="31"/>
      <c r="AA6" s="51" t="str">
        <f t="shared" ca="1" si="3"/>
        <v/>
      </c>
      <c r="AB6" s="51" t="str">
        <f t="shared" ca="1" si="4"/>
        <v>NON</v>
      </c>
      <c r="AC6" s="51" t="str">
        <f t="shared" si="5"/>
        <v/>
      </c>
      <c r="AD6" s="51" t="str">
        <f>IF(O6&lt;&gt;"",COUNTIFS($O$5:O6,O6),"")</f>
        <v/>
      </c>
      <c r="AE6" s="51" t="str">
        <f t="shared" si="6"/>
        <v/>
      </c>
      <c r="AF6" s="51" t="str">
        <f ca="1">IF(AB6="OUI",COUNTIFS($AB$5:AB6,"OUI"),"")</f>
        <v/>
      </c>
      <c r="AG6" s="51" t="str">
        <f t="shared" ca="1" si="7"/>
        <v/>
      </c>
      <c r="AH6" s="51" t="str">
        <f t="shared" si="8"/>
        <v>NON</v>
      </c>
    </row>
    <row r="7" spans="1:34" x14ac:dyDescent="0.25">
      <c r="A7" s="51" t="str">
        <f t="shared" si="0"/>
        <v>MVT-0003</v>
      </c>
      <c r="B7" s="30"/>
      <c r="C7" s="25"/>
      <c r="D7" s="51" t="str">
        <f>IFERROR(INDEX(#REF!,MATCH(C7,#REF!,0)),"")</f>
        <v/>
      </c>
      <c r="E7" s="51" t="str">
        <f>IFERROR(INDEX(#REF!,MATCH(C7,#REF!,0)),"")</f>
        <v/>
      </c>
      <c r="F7" s="51" t="str">
        <f>IFERROR(INDEX(#REF!,MATCH(C7,#REF!,0)),"")</f>
        <v/>
      </c>
      <c r="G7" s="51" t="str">
        <f>IFERROR(INDEX(#REF!,MATCH(C7,#REF!,0)),"")</f>
        <v/>
      </c>
      <c r="H7" s="51" t="str">
        <f>IFERROR(INDEX(#REF!,MATCH(C7,#REF!,0)),"")</f>
        <v/>
      </c>
      <c r="I7" s="51" t="str">
        <f>IFERROR(INDEX(#REF!,MATCH(C7,#REF!,0)),"")</f>
        <v/>
      </c>
      <c r="J7" s="51" t="str">
        <f>IFERROR(INDEX(#REF!,MATCH(C7,#REF!,0)),"")</f>
        <v/>
      </c>
      <c r="K7" s="51" t="str">
        <f>IFERROR(INDEX(#REF!,MATCH(C7,#REF!,0)),"")</f>
        <v/>
      </c>
      <c r="L7" s="25"/>
      <c r="M7" s="25"/>
      <c r="N7" s="25"/>
      <c r="O7" s="25"/>
      <c r="P7" s="51" t="str">
        <f>IFERROR(INDEX(#REF!,MATCH(O7,#REF!,0)),"")</f>
        <v/>
      </c>
      <c r="Q7" s="51" t="str">
        <f>IFERROR(INDEX(#REF!,MATCH(O7,#REF!,0)),"")</f>
        <v/>
      </c>
      <c r="R7" s="51">
        <f t="shared" si="1"/>
        <v>0</v>
      </c>
      <c r="S7" s="29"/>
      <c r="T7" s="25"/>
      <c r="U7" s="25"/>
      <c r="V7" s="30"/>
      <c r="W7" s="30"/>
      <c r="X7" s="51" t="str">
        <f t="shared" ca="1" si="2"/>
        <v/>
      </c>
      <c r="Y7" s="25"/>
      <c r="Z7" s="25"/>
      <c r="AA7" s="51" t="str">
        <f t="shared" ca="1" si="3"/>
        <v/>
      </c>
      <c r="AB7" s="51" t="str">
        <f t="shared" ca="1" si="4"/>
        <v>NON</v>
      </c>
      <c r="AC7" s="51" t="str">
        <f t="shared" si="5"/>
        <v/>
      </c>
      <c r="AD7" s="51" t="str">
        <f>IF(O7&lt;&gt;"",COUNTIFS($O$5:O7,O7),"")</f>
        <v/>
      </c>
      <c r="AE7" s="51" t="str">
        <f t="shared" si="6"/>
        <v/>
      </c>
      <c r="AF7" s="51" t="str">
        <f ca="1">IF(AB7="OUI",COUNTIFS($AB$5:AB7,"OUI"),"")</f>
        <v/>
      </c>
      <c r="AG7" s="51" t="str">
        <f t="shared" ca="1" si="7"/>
        <v/>
      </c>
      <c r="AH7" s="51" t="str">
        <f t="shared" si="8"/>
        <v>NON</v>
      </c>
    </row>
    <row r="8" spans="1:34" x14ac:dyDescent="0.25">
      <c r="A8" s="51" t="str">
        <f t="shared" si="0"/>
        <v>MVT-0004</v>
      </c>
      <c r="B8" s="36"/>
      <c r="C8" s="31"/>
      <c r="D8" s="51" t="str">
        <f>IFERROR(INDEX(#REF!,MATCH(C8,#REF!,0)),"")</f>
        <v/>
      </c>
      <c r="E8" s="51" t="str">
        <f>IFERROR(INDEX(#REF!,MATCH(C8,#REF!,0)),"")</f>
        <v/>
      </c>
      <c r="F8" s="51" t="str">
        <f>IFERROR(INDEX(#REF!,MATCH(C8,#REF!,0)),"")</f>
        <v/>
      </c>
      <c r="G8" s="51" t="str">
        <f>IFERROR(INDEX(#REF!,MATCH(C8,#REF!,0)),"")</f>
        <v/>
      </c>
      <c r="H8" s="51" t="str">
        <f>IFERROR(INDEX(#REF!,MATCH(C8,#REF!,0)),"")</f>
        <v/>
      </c>
      <c r="I8" s="51" t="str">
        <f>IFERROR(INDEX(#REF!,MATCH(C8,#REF!,0)),"")</f>
        <v/>
      </c>
      <c r="J8" s="51" t="str">
        <f>IFERROR(INDEX(#REF!,MATCH(C8,#REF!,0)),"")</f>
        <v/>
      </c>
      <c r="K8" s="51" t="str">
        <f>IFERROR(INDEX(#REF!,MATCH(C8,#REF!,0)),"")</f>
        <v/>
      </c>
      <c r="L8" s="31"/>
      <c r="M8" s="31"/>
      <c r="N8" s="31"/>
      <c r="O8" s="31"/>
      <c r="P8" s="51" t="str">
        <f>IFERROR(INDEX(#REF!,MATCH(O8,#REF!,0)),"")</f>
        <v/>
      </c>
      <c r="Q8" s="51" t="str">
        <f>IFERROR(INDEX(#REF!,MATCH(O8,#REF!,0)),"")</f>
        <v/>
      </c>
      <c r="R8" s="51">
        <f t="shared" si="1"/>
        <v>0</v>
      </c>
      <c r="S8" s="35"/>
      <c r="T8" s="31"/>
      <c r="U8" s="31"/>
      <c r="V8" s="36"/>
      <c r="W8" s="36"/>
      <c r="X8" s="51" t="str">
        <f t="shared" ca="1" si="2"/>
        <v/>
      </c>
      <c r="Y8" s="31"/>
      <c r="Z8" s="31"/>
      <c r="AA8" s="51" t="str">
        <f t="shared" ca="1" si="3"/>
        <v/>
      </c>
      <c r="AB8" s="51" t="str">
        <f t="shared" ca="1" si="4"/>
        <v>NON</v>
      </c>
      <c r="AC8" s="51" t="str">
        <f t="shared" si="5"/>
        <v/>
      </c>
      <c r="AD8" s="51" t="str">
        <f>IF(O8&lt;&gt;"",COUNTIFS($O$5:O8,O8),"")</f>
        <v/>
      </c>
      <c r="AE8" s="51" t="str">
        <f t="shared" si="6"/>
        <v/>
      </c>
      <c r="AF8" s="51" t="str">
        <f ca="1">IF(AB8="OUI",COUNTIFS($AB$5:AB8,"OUI"),"")</f>
        <v/>
      </c>
      <c r="AG8" s="51" t="str">
        <f t="shared" ca="1" si="7"/>
        <v/>
      </c>
      <c r="AH8" s="51" t="str">
        <f t="shared" si="8"/>
        <v>NON</v>
      </c>
    </row>
    <row r="9" spans="1:34" x14ac:dyDescent="0.25">
      <c r="A9" s="51" t="str">
        <f t="shared" si="0"/>
        <v>MVT-0005</v>
      </c>
      <c r="B9" s="30"/>
      <c r="C9" s="25"/>
      <c r="D9" s="51" t="str">
        <f>IFERROR(INDEX(#REF!,MATCH(C9,#REF!,0)),"")</f>
        <v/>
      </c>
      <c r="E9" s="51" t="str">
        <f>IFERROR(INDEX(#REF!,MATCH(C9,#REF!,0)),"")</f>
        <v/>
      </c>
      <c r="F9" s="51" t="str">
        <f>IFERROR(INDEX(#REF!,MATCH(C9,#REF!,0)),"")</f>
        <v/>
      </c>
      <c r="G9" s="51" t="str">
        <f>IFERROR(INDEX(#REF!,MATCH(C9,#REF!,0)),"")</f>
        <v/>
      </c>
      <c r="H9" s="51" t="str">
        <f>IFERROR(INDEX(#REF!,MATCH(C9,#REF!,0)),"")</f>
        <v/>
      </c>
      <c r="I9" s="51" t="str">
        <f>IFERROR(INDEX(#REF!,MATCH(C9,#REF!,0)),"")</f>
        <v/>
      </c>
      <c r="J9" s="51" t="str">
        <f>IFERROR(INDEX(#REF!,MATCH(C9,#REF!,0)),"")</f>
        <v/>
      </c>
      <c r="K9" s="51" t="str">
        <f>IFERROR(INDEX(#REF!,MATCH(C9,#REF!,0)),"")</f>
        <v/>
      </c>
      <c r="L9" s="25"/>
      <c r="M9" s="25"/>
      <c r="N9" s="25"/>
      <c r="O9" s="25"/>
      <c r="P9" s="51" t="str">
        <f>IFERROR(INDEX(#REF!,MATCH(O9,#REF!,0)),"")</f>
        <v/>
      </c>
      <c r="Q9" s="51" t="str">
        <f>IFERROR(INDEX(#REF!,MATCH(O9,#REF!,0)),"")</f>
        <v/>
      </c>
      <c r="R9" s="51">
        <f t="shared" si="1"/>
        <v>0</v>
      </c>
      <c r="S9" s="29"/>
      <c r="T9" s="25"/>
      <c r="U9" s="25"/>
      <c r="V9" s="30"/>
      <c r="W9" s="30"/>
      <c r="X9" s="51" t="str">
        <f t="shared" ca="1" si="2"/>
        <v/>
      </c>
      <c r="Y9" s="25"/>
      <c r="Z9" s="25"/>
      <c r="AA9" s="51" t="str">
        <f t="shared" ca="1" si="3"/>
        <v/>
      </c>
      <c r="AB9" s="51" t="str">
        <f t="shared" ca="1" si="4"/>
        <v>NON</v>
      </c>
      <c r="AC9" s="51" t="str">
        <f t="shared" si="5"/>
        <v/>
      </c>
      <c r="AD9" s="51" t="str">
        <f>IF(O9&lt;&gt;"",COUNTIFS($O$5:O9,O9),"")</f>
        <v/>
      </c>
      <c r="AE9" s="51" t="str">
        <f t="shared" si="6"/>
        <v/>
      </c>
      <c r="AF9" s="51" t="str">
        <f ca="1">IF(AB9="OUI",COUNTIFS($AB$5:AB9,"OUI"),"")</f>
        <v/>
      </c>
      <c r="AG9" s="51" t="str">
        <f t="shared" ca="1" si="7"/>
        <v/>
      </c>
      <c r="AH9" s="51" t="str">
        <f t="shared" si="8"/>
        <v>NON</v>
      </c>
    </row>
    <row r="10" spans="1:34" x14ac:dyDescent="0.25">
      <c r="A10" s="51" t="str">
        <f t="shared" si="0"/>
        <v>MVT-0006</v>
      </c>
      <c r="B10" s="36"/>
      <c r="C10" s="31"/>
      <c r="D10" s="51" t="str">
        <f>IFERROR(INDEX(#REF!,MATCH(C10,#REF!,0)),"")</f>
        <v/>
      </c>
      <c r="E10" s="51" t="str">
        <f>IFERROR(INDEX(#REF!,MATCH(C10,#REF!,0)),"")</f>
        <v/>
      </c>
      <c r="F10" s="51" t="str">
        <f>IFERROR(INDEX(#REF!,MATCH(C10,#REF!,0)),"")</f>
        <v/>
      </c>
      <c r="G10" s="51" t="str">
        <f>IFERROR(INDEX(#REF!,MATCH(C10,#REF!,0)),"")</f>
        <v/>
      </c>
      <c r="H10" s="51" t="str">
        <f>IFERROR(INDEX(#REF!,MATCH(C10,#REF!,0)),"")</f>
        <v/>
      </c>
      <c r="I10" s="51" t="str">
        <f>IFERROR(INDEX(#REF!,MATCH(C10,#REF!,0)),"")</f>
        <v/>
      </c>
      <c r="J10" s="51" t="str">
        <f>IFERROR(INDEX(#REF!,MATCH(C10,#REF!,0)),"")</f>
        <v/>
      </c>
      <c r="K10" s="51" t="str">
        <f>IFERROR(INDEX(#REF!,MATCH(C10,#REF!,0)),"")</f>
        <v/>
      </c>
      <c r="L10" s="31"/>
      <c r="M10" s="31"/>
      <c r="N10" s="31"/>
      <c r="O10" s="31"/>
      <c r="P10" s="51" t="str">
        <f>IFERROR(INDEX(#REF!,MATCH(O10,#REF!,0)),"")</f>
        <v/>
      </c>
      <c r="Q10" s="51" t="str">
        <f>IFERROR(INDEX(#REF!,MATCH(O10,#REF!,0)),"")</f>
        <v/>
      </c>
      <c r="R10" s="51">
        <f t="shared" si="1"/>
        <v>0</v>
      </c>
      <c r="S10" s="35"/>
      <c r="T10" s="31"/>
      <c r="U10" s="31"/>
      <c r="V10" s="36"/>
      <c r="W10" s="36"/>
      <c r="X10" s="51" t="str">
        <f t="shared" ca="1" si="2"/>
        <v/>
      </c>
      <c r="Y10" s="31"/>
      <c r="Z10" s="31"/>
      <c r="AA10" s="51" t="str">
        <f t="shared" ca="1" si="3"/>
        <v/>
      </c>
      <c r="AB10" s="51" t="str">
        <f t="shared" ca="1" si="4"/>
        <v>NON</v>
      </c>
      <c r="AC10" s="51" t="str">
        <f t="shared" si="5"/>
        <v/>
      </c>
      <c r="AD10" s="51" t="str">
        <f>IF(O10&lt;&gt;"",COUNTIFS($O$5:O10,O10),"")</f>
        <v/>
      </c>
      <c r="AE10" s="51" t="str">
        <f t="shared" si="6"/>
        <v/>
      </c>
      <c r="AF10" s="51" t="str">
        <f ca="1">IF(AB10="OUI",COUNTIFS($AB$5:AB10,"OUI"),"")</f>
        <v/>
      </c>
      <c r="AG10" s="51" t="str">
        <f t="shared" ca="1" si="7"/>
        <v/>
      </c>
      <c r="AH10" s="51" t="str">
        <f t="shared" si="8"/>
        <v>NON</v>
      </c>
    </row>
    <row r="11" spans="1:34" x14ac:dyDescent="0.25">
      <c r="A11" s="51" t="str">
        <f t="shared" si="0"/>
        <v>MVT-0007</v>
      </c>
      <c r="B11" s="30"/>
      <c r="C11" s="25"/>
      <c r="D11" s="51" t="str">
        <f>IFERROR(INDEX(#REF!,MATCH(C11,#REF!,0)),"")</f>
        <v/>
      </c>
      <c r="E11" s="51" t="str">
        <f>IFERROR(INDEX(#REF!,MATCH(C11,#REF!,0)),"")</f>
        <v/>
      </c>
      <c r="F11" s="51" t="str">
        <f>IFERROR(INDEX(#REF!,MATCH(C11,#REF!,0)),"")</f>
        <v/>
      </c>
      <c r="G11" s="51" t="str">
        <f>IFERROR(INDEX(#REF!,MATCH(C11,#REF!,0)),"")</f>
        <v/>
      </c>
      <c r="H11" s="51" t="str">
        <f>IFERROR(INDEX(#REF!,MATCH(C11,#REF!,0)),"")</f>
        <v/>
      </c>
      <c r="I11" s="51" t="str">
        <f>IFERROR(INDEX(#REF!,MATCH(C11,#REF!,0)),"")</f>
        <v/>
      </c>
      <c r="J11" s="51" t="str">
        <f>IFERROR(INDEX(#REF!,MATCH(C11,#REF!,0)),"")</f>
        <v/>
      </c>
      <c r="K11" s="51" t="str">
        <f>IFERROR(INDEX(#REF!,MATCH(C11,#REF!,0)),"")</f>
        <v/>
      </c>
      <c r="L11" s="25"/>
      <c r="M11" s="25"/>
      <c r="N11" s="25"/>
      <c r="O11" s="25"/>
      <c r="P11" s="51" t="str">
        <f>IFERROR(INDEX(#REF!,MATCH(O11,#REF!,0)),"")</f>
        <v/>
      </c>
      <c r="Q11" s="51" t="str">
        <f>IFERROR(INDEX(#REF!,MATCH(O11,#REF!,0)),"")</f>
        <v/>
      </c>
      <c r="R11" s="51">
        <f t="shared" si="1"/>
        <v>0</v>
      </c>
      <c r="S11" s="29"/>
      <c r="T11" s="25"/>
      <c r="U11" s="25"/>
      <c r="V11" s="30"/>
      <c r="W11" s="30"/>
      <c r="X11" s="51" t="str">
        <f t="shared" ca="1" si="2"/>
        <v/>
      </c>
      <c r="Y11" s="25"/>
      <c r="Z11" s="25"/>
      <c r="AA11" s="51" t="str">
        <f t="shared" ca="1" si="3"/>
        <v/>
      </c>
      <c r="AB11" s="51" t="str">
        <f t="shared" ca="1" si="4"/>
        <v>NON</v>
      </c>
      <c r="AC11" s="51" t="str">
        <f t="shared" si="5"/>
        <v/>
      </c>
      <c r="AD11" s="51" t="str">
        <f>IF(O11&lt;&gt;"",COUNTIFS($O$5:O11,O11),"")</f>
        <v/>
      </c>
      <c r="AE11" s="51" t="str">
        <f t="shared" si="6"/>
        <v/>
      </c>
      <c r="AF11" s="51" t="str">
        <f ca="1">IF(AB11="OUI",COUNTIFS($AB$5:AB11,"OUI"),"")</f>
        <v/>
      </c>
      <c r="AG11" s="51" t="str">
        <f t="shared" ca="1" si="7"/>
        <v/>
      </c>
      <c r="AH11" s="51" t="str">
        <f t="shared" si="8"/>
        <v>NON</v>
      </c>
    </row>
    <row r="12" spans="1:34" x14ac:dyDescent="0.25">
      <c r="A12" s="51" t="str">
        <f t="shared" si="0"/>
        <v>MVT-0008</v>
      </c>
      <c r="B12" s="36"/>
      <c r="C12" s="31"/>
      <c r="D12" s="51" t="str">
        <f>IFERROR(INDEX(#REF!,MATCH(C12,#REF!,0)),"")</f>
        <v/>
      </c>
      <c r="E12" s="51" t="str">
        <f>IFERROR(INDEX(#REF!,MATCH(C12,#REF!,0)),"")</f>
        <v/>
      </c>
      <c r="F12" s="51" t="str">
        <f>IFERROR(INDEX(#REF!,MATCH(C12,#REF!,0)),"")</f>
        <v/>
      </c>
      <c r="G12" s="51" t="str">
        <f>IFERROR(INDEX(#REF!,MATCH(C12,#REF!,0)),"")</f>
        <v/>
      </c>
      <c r="H12" s="51" t="str">
        <f>IFERROR(INDEX(#REF!,MATCH(C12,#REF!,0)),"")</f>
        <v/>
      </c>
      <c r="I12" s="51" t="str">
        <f>IFERROR(INDEX(#REF!,MATCH(C12,#REF!,0)),"")</f>
        <v/>
      </c>
      <c r="J12" s="51" t="str">
        <f>IFERROR(INDEX(#REF!,MATCH(C12,#REF!,0)),"")</f>
        <v/>
      </c>
      <c r="K12" s="51" t="str">
        <f>IFERROR(INDEX(#REF!,MATCH(C12,#REF!,0)),"")</f>
        <v/>
      </c>
      <c r="L12" s="31"/>
      <c r="M12" s="31"/>
      <c r="N12" s="31"/>
      <c r="O12" s="31"/>
      <c r="P12" s="51" t="str">
        <f>IFERROR(INDEX(#REF!,MATCH(O12,#REF!,0)),"")</f>
        <v/>
      </c>
      <c r="Q12" s="51" t="str">
        <f>IFERROR(INDEX(#REF!,MATCH(O12,#REF!,0)),"")</f>
        <v/>
      </c>
      <c r="R12" s="51">
        <f t="shared" si="1"/>
        <v>0</v>
      </c>
      <c r="S12" s="35"/>
      <c r="T12" s="31"/>
      <c r="U12" s="31"/>
      <c r="V12" s="36"/>
      <c r="W12" s="36"/>
      <c r="X12" s="51" t="str">
        <f t="shared" ca="1" si="2"/>
        <v/>
      </c>
      <c r="Y12" s="31"/>
      <c r="Z12" s="31"/>
      <c r="AA12" s="51" t="str">
        <f t="shared" ca="1" si="3"/>
        <v/>
      </c>
      <c r="AB12" s="51" t="str">
        <f t="shared" ca="1" si="4"/>
        <v>NON</v>
      </c>
      <c r="AC12" s="51" t="str">
        <f t="shared" si="5"/>
        <v/>
      </c>
      <c r="AD12" s="51" t="str">
        <f>IF(O12&lt;&gt;"",COUNTIFS($O$5:O12,O12),"")</f>
        <v/>
      </c>
      <c r="AE12" s="51" t="str">
        <f t="shared" si="6"/>
        <v/>
      </c>
      <c r="AF12" s="51" t="str">
        <f ca="1">IF(AB12="OUI",COUNTIFS($AB$5:AB12,"OUI"),"")</f>
        <v/>
      </c>
      <c r="AG12" s="51" t="str">
        <f t="shared" ca="1" si="7"/>
        <v/>
      </c>
      <c r="AH12" s="51" t="str">
        <f t="shared" si="8"/>
        <v>NON</v>
      </c>
    </row>
    <row r="13" spans="1:34" x14ac:dyDescent="0.25">
      <c r="A13" s="51" t="str">
        <f t="shared" si="0"/>
        <v>MVT-0009</v>
      </c>
      <c r="B13" s="30"/>
      <c r="C13" s="25"/>
      <c r="D13" s="51" t="str">
        <f>IFERROR(INDEX(#REF!,MATCH(C13,#REF!,0)),"")</f>
        <v/>
      </c>
      <c r="E13" s="51" t="str">
        <f>IFERROR(INDEX(#REF!,MATCH(C13,#REF!,0)),"")</f>
        <v/>
      </c>
      <c r="F13" s="51" t="str">
        <f>IFERROR(INDEX(#REF!,MATCH(C13,#REF!,0)),"")</f>
        <v/>
      </c>
      <c r="G13" s="51" t="str">
        <f>IFERROR(INDEX(#REF!,MATCH(C13,#REF!,0)),"")</f>
        <v/>
      </c>
      <c r="H13" s="51" t="str">
        <f>IFERROR(INDEX(#REF!,MATCH(C13,#REF!,0)),"")</f>
        <v/>
      </c>
      <c r="I13" s="51" t="str">
        <f>IFERROR(INDEX(#REF!,MATCH(C13,#REF!,0)),"")</f>
        <v/>
      </c>
      <c r="J13" s="51" t="str">
        <f>IFERROR(INDEX(#REF!,MATCH(C13,#REF!,0)),"")</f>
        <v/>
      </c>
      <c r="K13" s="51" t="str">
        <f>IFERROR(INDEX(#REF!,MATCH(C13,#REF!,0)),"")</f>
        <v/>
      </c>
      <c r="L13" s="25"/>
      <c r="M13" s="25"/>
      <c r="N13" s="25"/>
      <c r="O13" s="25"/>
      <c r="P13" s="51" t="str">
        <f>IFERROR(INDEX(#REF!,MATCH(O13,#REF!,0)),"")</f>
        <v/>
      </c>
      <c r="Q13" s="51" t="str">
        <f>IFERROR(INDEX(#REF!,MATCH(O13,#REF!,0)),"")</f>
        <v/>
      </c>
      <c r="R13" s="51">
        <f t="shared" si="1"/>
        <v>0</v>
      </c>
      <c r="S13" s="29"/>
      <c r="T13" s="25"/>
      <c r="U13" s="25"/>
      <c r="V13" s="30"/>
      <c r="W13" s="30"/>
      <c r="X13" s="51" t="str">
        <f t="shared" ca="1" si="2"/>
        <v/>
      </c>
      <c r="Y13" s="25"/>
      <c r="Z13" s="25"/>
      <c r="AA13" s="51" t="str">
        <f t="shared" ca="1" si="3"/>
        <v/>
      </c>
      <c r="AB13" s="51" t="str">
        <f t="shared" ca="1" si="4"/>
        <v>NON</v>
      </c>
      <c r="AC13" s="51" t="str">
        <f t="shared" si="5"/>
        <v/>
      </c>
      <c r="AD13" s="51" t="str">
        <f>IF(O13&lt;&gt;"",COUNTIFS($O$5:O13,O13),"")</f>
        <v/>
      </c>
      <c r="AE13" s="51" t="str">
        <f t="shared" si="6"/>
        <v/>
      </c>
      <c r="AF13" s="51" t="str">
        <f ca="1">IF(AB13="OUI",COUNTIFS($AB$5:AB13,"OUI"),"")</f>
        <v/>
      </c>
      <c r="AG13" s="51" t="str">
        <f t="shared" ca="1" si="7"/>
        <v/>
      </c>
      <c r="AH13" s="51" t="str">
        <f t="shared" si="8"/>
        <v>NON</v>
      </c>
    </row>
    <row r="14" spans="1:34" x14ac:dyDescent="0.25">
      <c r="A14" s="51" t="str">
        <f t="shared" si="0"/>
        <v>MVT-0010</v>
      </c>
      <c r="B14" s="36"/>
      <c r="C14" s="31"/>
      <c r="D14" s="51" t="str">
        <f>IFERROR(INDEX(#REF!,MATCH(C14,#REF!,0)),"")</f>
        <v/>
      </c>
      <c r="E14" s="51" t="str">
        <f>IFERROR(INDEX(#REF!,MATCH(C14,#REF!,0)),"")</f>
        <v/>
      </c>
      <c r="F14" s="51" t="str">
        <f>IFERROR(INDEX(#REF!,MATCH(C14,#REF!,0)),"")</f>
        <v/>
      </c>
      <c r="G14" s="51" t="str">
        <f>IFERROR(INDEX(#REF!,MATCH(C14,#REF!,0)),"")</f>
        <v/>
      </c>
      <c r="H14" s="51" t="str">
        <f>IFERROR(INDEX(#REF!,MATCH(C14,#REF!,0)),"")</f>
        <v/>
      </c>
      <c r="I14" s="51" t="str">
        <f>IFERROR(INDEX(#REF!,MATCH(C14,#REF!,0)),"")</f>
        <v/>
      </c>
      <c r="J14" s="51" t="str">
        <f>IFERROR(INDEX(#REF!,MATCH(C14,#REF!,0)),"")</f>
        <v/>
      </c>
      <c r="K14" s="51" t="str">
        <f>IFERROR(INDEX(#REF!,MATCH(C14,#REF!,0)),"")</f>
        <v/>
      </c>
      <c r="L14" s="31"/>
      <c r="M14" s="31"/>
      <c r="N14" s="31"/>
      <c r="O14" s="31"/>
      <c r="P14" s="51" t="str">
        <f>IFERROR(INDEX(#REF!,MATCH(O14,#REF!,0)),"")</f>
        <v/>
      </c>
      <c r="Q14" s="51" t="str">
        <f>IFERROR(INDEX(#REF!,MATCH(O14,#REF!,0)),"")</f>
        <v/>
      </c>
      <c r="R14" s="51">
        <f t="shared" si="1"/>
        <v>0</v>
      </c>
      <c r="S14" s="35"/>
      <c r="T14" s="31"/>
      <c r="U14" s="31"/>
      <c r="V14" s="36"/>
      <c r="W14" s="36"/>
      <c r="X14" s="51" t="str">
        <f t="shared" ca="1" si="2"/>
        <v/>
      </c>
      <c r="Y14" s="31"/>
      <c r="Z14" s="31"/>
      <c r="AA14" s="51" t="str">
        <f t="shared" ca="1" si="3"/>
        <v/>
      </c>
      <c r="AB14" s="51" t="str">
        <f t="shared" ca="1" si="4"/>
        <v>NON</v>
      </c>
      <c r="AC14" s="51" t="str">
        <f t="shared" si="5"/>
        <v/>
      </c>
      <c r="AD14" s="51" t="str">
        <f>IF(O14&lt;&gt;"",COUNTIFS($O$5:O14,O14),"")</f>
        <v/>
      </c>
      <c r="AE14" s="51" t="str">
        <f t="shared" si="6"/>
        <v/>
      </c>
      <c r="AF14" s="51" t="str">
        <f ca="1">IF(AB14="OUI",COUNTIFS($AB$5:AB14,"OUI"),"")</f>
        <v/>
      </c>
      <c r="AG14" s="51" t="str">
        <f t="shared" ca="1" si="7"/>
        <v/>
      </c>
      <c r="AH14" s="51" t="str">
        <f t="shared" si="8"/>
        <v>NON</v>
      </c>
    </row>
    <row r="15" spans="1:34" x14ac:dyDescent="0.25">
      <c r="A15" s="51" t="str">
        <f t="shared" si="0"/>
        <v>MVT-0011</v>
      </c>
      <c r="B15" s="30"/>
      <c r="C15" s="25"/>
      <c r="D15" s="51" t="str">
        <f>IFERROR(INDEX(#REF!,MATCH(C15,#REF!,0)),"")</f>
        <v/>
      </c>
      <c r="E15" s="51" t="str">
        <f>IFERROR(INDEX(#REF!,MATCH(C15,#REF!,0)),"")</f>
        <v/>
      </c>
      <c r="F15" s="51" t="str">
        <f>IFERROR(INDEX(#REF!,MATCH(C15,#REF!,0)),"")</f>
        <v/>
      </c>
      <c r="G15" s="51" t="str">
        <f>IFERROR(INDEX(#REF!,MATCH(C15,#REF!,0)),"")</f>
        <v/>
      </c>
      <c r="H15" s="51" t="str">
        <f>IFERROR(INDEX(#REF!,MATCH(C15,#REF!,0)),"")</f>
        <v/>
      </c>
      <c r="I15" s="51" t="str">
        <f>IFERROR(INDEX(#REF!,MATCH(C15,#REF!,0)),"")</f>
        <v/>
      </c>
      <c r="J15" s="51" t="str">
        <f>IFERROR(INDEX(#REF!,MATCH(C15,#REF!,0)),"")</f>
        <v/>
      </c>
      <c r="K15" s="51" t="str">
        <f>IFERROR(INDEX(#REF!,MATCH(C15,#REF!,0)),"")</f>
        <v/>
      </c>
      <c r="L15" s="25"/>
      <c r="M15" s="25"/>
      <c r="N15" s="25"/>
      <c r="O15" s="25"/>
      <c r="P15" s="51" t="str">
        <f>IFERROR(INDEX(#REF!,MATCH(O15,#REF!,0)),"")</f>
        <v/>
      </c>
      <c r="Q15" s="51" t="str">
        <f>IFERROR(INDEX(#REF!,MATCH(O15,#REF!,0)),"")</f>
        <v/>
      </c>
      <c r="R15" s="51">
        <f t="shared" si="1"/>
        <v>0</v>
      </c>
      <c r="S15" s="29"/>
      <c r="T15" s="25"/>
      <c r="U15" s="25"/>
      <c r="V15" s="30"/>
      <c r="W15" s="30"/>
      <c r="X15" s="51" t="str">
        <f t="shared" ca="1" si="2"/>
        <v/>
      </c>
      <c r="Y15" s="25"/>
      <c r="Z15" s="25"/>
      <c r="AA15" s="51" t="str">
        <f t="shared" ca="1" si="3"/>
        <v/>
      </c>
      <c r="AB15" s="51" t="str">
        <f t="shared" ca="1" si="4"/>
        <v>NON</v>
      </c>
      <c r="AC15" s="51" t="str">
        <f t="shared" si="5"/>
        <v/>
      </c>
      <c r="AD15" s="51" t="str">
        <f>IF(O15&lt;&gt;"",COUNTIFS($O$5:O15,O15),"")</f>
        <v/>
      </c>
      <c r="AE15" s="51" t="str">
        <f t="shared" si="6"/>
        <v/>
      </c>
      <c r="AF15" s="51" t="str">
        <f ca="1">IF(AB15="OUI",COUNTIFS($AB$5:AB15,"OUI"),"")</f>
        <v/>
      </c>
      <c r="AG15" s="51" t="str">
        <f t="shared" ca="1" si="7"/>
        <v/>
      </c>
      <c r="AH15" s="51" t="str">
        <f t="shared" si="8"/>
        <v>NON</v>
      </c>
    </row>
    <row r="16" spans="1:34" x14ac:dyDescent="0.25">
      <c r="A16" s="51" t="str">
        <f t="shared" si="0"/>
        <v>MVT-0012</v>
      </c>
      <c r="B16" s="36"/>
      <c r="C16" s="31"/>
      <c r="D16" s="51" t="str">
        <f>IFERROR(INDEX(#REF!,MATCH(C16,#REF!,0)),"")</f>
        <v/>
      </c>
      <c r="E16" s="51" t="str">
        <f>IFERROR(INDEX(#REF!,MATCH(C16,#REF!,0)),"")</f>
        <v/>
      </c>
      <c r="F16" s="51" t="str">
        <f>IFERROR(INDEX(#REF!,MATCH(C16,#REF!,0)),"")</f>
        <v/>
      </c>
      <c r="G16" s="51" t="str">
        <f>IFERROR(INDEX(#REF!,MATCH(C16,#REF!,0)),"")</f>
        <v/>
      </c>
      <c r="H16" s="51" t="str">
        <f>IFERROR(INDEX(#REF!,MATCH(C16,#REF!,0)),"")</f>
        <v/>
      </c>
      <c r="I16" s="51" t="str">
        <f>IFERROR(INDEX(#REF!,MATCH(C16,#REF!,0)),"")</f>
        <v/>
      </c>
      <c r="J16" s="51" t="str">
        <f>IFERROR(INDEX(#REF!,MATCH(C16,#REF!,0)),"")</f>
        <v/>
      </c>
      <c r="K16" s="51" t="str">
        <f>IFERROR(INDEX(#REF!,MATCH(C16,#REF!,0)),"")</f>
        <v/>
      </c>
      <c r="L16" s="31"/>
      <c r="M16" s="31"/>
      <c r="N16" s="31"/>
      <c r="O16" s="31"/>
      <c r="P16" s="51" t="str">
        <f>IFERROR(INDEX(#REF!,MATCH(O16,#REF!,0)),"")</f>
        <v/>
      </c>
      <c r="Q16" s="51" t="str">
        <f>IFERROR(INDEX(#REF!,MATCH(O16,#REF!,0)),"")</f>
        <v/>
      </c>
      <c r="R16" s="51">
        <f t="shared" si="1"/>
        <v>0</v>
      </c>
      <c r="S16" s="35"/>
      <c r="T16" s="31"/>
      <c r="U16" s="31"/>
      <c r="V16" s="36"/>
      <c r="W16" s="36"/>
      <c r="X16" s="51" t="str">
        <f t="shared" ca="1" si="2"/>
        <v/>
      </c>
      <c r="Y16" s="31"/>
      <c r="Z16" s="31"/>
      <c r="AA16" s="51" t="str">
        <f t="shared" ca="1" si="3"/>
        <v/>
      </c>
      <c r="AB16" s="51" t="str">
        <f t="shared" ca="1" si="4"/>
        <v>NON</v>
      </c>
      <c r="AC16" s="51" t="str">
        <f t="shared" si="5"/>
        <v/>
      </c>
      <c r="AD16" s="51" t="str">
        <f>IF(O16&lt;&gt;"",COUNTIFS($O$5:O16,O16),"")</f>
        <v/>
      </c>
      <c r="AE16" s="51" t="str">
        <f t="shared" si="6"/>
        <v/>
      </c>
      <c r="AF16" s="51" t="str">
        <f ca="1">IF(AB16="OUI",COUNTIFS($AB$5:AB16,"OUI"),"")</f>
        <v/>
      </c>
      <c r="AG16" s="51" t="str">
        <f t="shared" ca="1" si="7"/>
        <v/>
      </c>
      <c r="AH16" s="51" t="str">
        <f t="shared" si="8"/>
        <v>NON</v>
      </c>
    </row>
    <row r="17" spans="1:34" x14ac:dyDescent="0.25">
      <c r="A17" s="51" t="str">
        <f t="shared" si="0"/>
        <v>MVT-0013</v>
      </c>
      <c r="B17" s="30"/>
      <c r="C17" s="25"/>
      <c r="D17" s="51" t="str">
        <f>IFERROR(INDEX(#REF!,MATCH(C17,#REF!,0)),"")</f>
        <v/>
      </c>
      <c r="E17" s="51" t="str">
        <f>IFERROR(INDEX(#REF!,MATCH(C17,#REF!,0)),"")</f>
        <v/>
      </c>
      <c r="F17" s="51" t="str">
        <f>IFERROR(INDEX(#REF!,MATCH(C17,#REF!,0)),"")</f>
        <v/>
      </c>
      <c r="G17" s="51" t="str">
        <f>IFERROR(INDEX(#REF!,MATCH(C17,#REF!,0)),"")</f>
        <v/>
      </c>
      <c r="H17" s="51" t="str">
        <f>IFERROR(INDEX(#REF!,MATCH(C17,#REF!,0)),"")</f>
        <v/>
      </c>
      <c r="I17" s="51" t="str">
        <f>IFERROR(INDEX(#REF!,MATCH(C17,#REF!,0)),"")</f>
        <v/>
      </c>
      <c r="J17" s="51" t="str">
        <f>IFERROR(INDEX(#REF!,MATCH(C17,#REF!,0)),"")</f>
        <v/>
      </c>
      <c r="K17" s="51" t="str">
        <f>IFERROR(INDEX(#REF!,MATCH(C17,#REF!,0)),"")</f>
        <v/>
      </c>
      <c r="L17" s="25"/>
      <c r="M17" s="25"/>
      <c r="N17" s="25"/>
      <c r="O17" s="25"/>
      <c r="P17" s="51" t="str">
        <f>IFERROR(INDEX(#REF!,MATCH(O17,#REF!,0)),"")</f>
        <v/>
      </c>
      <c r="Q17" s="51" t="str">
        <f>IFERROR(INDEX(#REF!,MATCH(O17,#REF!,0)),"")</f>
        <v/>
      </c>
      <c r="R17" s="51">
        <f t="shared" si="1"/>
        <v>0</v>
      </c>
      <c r="S17" s="29"/>
      <c r="T17" s="25"/>
      <c r="U17" s="25"/>
      <c r="V17" s="30"/>
      <c r="W17" s="30"/>
      <c r="X17" s="51" t="str">
        <f t="shared" ca="1" si="2"/>
        <v/>
      </c>
      <c r="Y17" s="25"/>
      <c r="Z17" s="25"/>
      <c r="AA17" s="51" t="str">
        <f t="shared" ca="1" si="3"/>
        <v/>
      </c>
      <c r="AB17" s="51" t="str">
        <f t="shared" ca="1" si="4"/>
        <v>NON</v>
      </c>
      <c r="AC17" s="51" t="str">
        <f t="shared" si="5"/>
        <v/>
      </c>
      <c r="AD17" s="51" t="str">
        <f>IF(O17&lt;&gt;"",COUNTIFS($O$5:O17,O17),"")</f>
        <v/>
      </c>
      <c r="AE17" s="51" t="str">
        <f t="shared" si="6"/>
        <v/>
      </c>
      <c r="AF17" s="51" t="str">
        <f ca="1">IF(AB17="OUI",COUNTIFS($AB$5:AB17,"OUI"),"")</f>
        <v/>
      </c>
      <c r="AG17" s="51" t="str">
        <f t="shared" ca="1" si="7"/>
        <v/>
      </c>
      <c r="AH17" s="51" t="str">
        <f t="shared" si="8"/>
        <v>NON</v>
      </c>
    </row>
    <row r="18" spans="1:34" x14ac:dyDescent="0.25">
      <c r="A18" s="51" t="str">
        <f t="shared" si="0"/>
        <v>MVT-0014</v>
      </c>
      <c r="B18" s="36"/>
      <c r="C18" s="31"/>
      <c r="D18" s="51" t="str">
        <f>IFERROR(INDEX(#REF!,MATCH(C18,#REF!,0)),"")</f>
        <v/>
      </c>
      <c r="E18" s="51" t="str">
        <f>IFERROR(INDEX(#REF!,MATCH(C18,#REF!,0)),"")</f>
        <v/>
      </c>
      <c r="F18" s="51" t="str">
        <f>IFERROR(INDEX(#REF!,MATCH(C18,#REF!,0)),"")</f>
        <v/>
      </c>
      <c r="G18" s="51" t="str">
        <f>IFERROR(INDEX(#REF!,MATCH(C18,#REF!,0)),"")</f>
        <v/>
      </c>
      <c r="H18" s="51" t="str">
        <f>IFERROR(INDEX(#REF!,MATCH(C18,#REF!,0)),"")</f>
        <v/>
      </c>
      <c r="I18" s="51" t="str">
        <f>IFERROR(INDEX(#REF!,MATCH(C18,#REF!,0)),"")</f>
        <v/>
      </c>
      <c r="J18" s="51" t="str">
        <f>IFERROR(INDEX(#REF!,MATCH(C18,#REF!,0)),"")</f>
        <v/>
      </c>
      <c r="K18" s="51" t="str">
        <f>IFERROR(INDEX(#REF!,MATCH(C18,#REF!,0)),"")</f>
        <v/>
      </c>
      <c r="L18" s="31"/>
      <c r="M18" s="31"/>
      <c r="N18" s="31"/>
      <c r="O18" s="31"/>
      <c r="P18" s="51" t="str">
        <f>IFERROR(INDEX(#REF!,MATCH(O18,#REF!,0)),"")</f>
        <v/>
      </c>
      <c r="Q18" s="51" t="str">
        <f>IFERROR(INDEX(#REF!,MATCH(O18,#REF!,0)),"")</f>
        <v/>
      </c>
      <c r="R18" s="51">
        <f t="shared" si="1"/>
        <v>0</v>
      </c>
      <c r="S18" s="35"/>
      <c r="T18" s="31"/>
      <c r="U18" s="31"/>
      <c r="V18" s="36"/>
      <c r="W18" s="36"/>
      <c r="X18" s="51" t="str">
        <f t="shared" ca="1" si="2"/>
        <v/>
      </c>
      <c r="Y18" s="31"/>
      <c r="Z18" s="31"/>
      <c r="AA18" s="51" t="str">
        <f t="shared" ca="1" si="3"/>
        <v/>
      </c>
      <c r="AB18" s="51" t="str">
        <f t="shared" ca="1" si="4"/>
        <v>NON</v>
      </c>
      <c r="AC18" s="51" t="str">
        <f t="shared" si="5"/>
        <v/>
      </c>
      <c r="AD18" s="51" t="str">
        <f>IF(O18&lt;&gt;"",COUNTIFS($O$5:O18,O18),"")</f>
        <v/>
      </c>
      <c r="AE18" s="51" t="str">
        <f t="shared" si="6"/>
        <v/>
      </c>
      <c r="AF18" s="51" t="str">
        <f ca="1">IF(AB18="OUI",COUNTIFS($AB$5:AB18,"OUI"),"")</f>
        <v/>
      </c>
      <c r="AG18" s="51" t="str">
        <f t="shared" ca="1" si="7"/>
        <v/>
      </c>
      <c r="AH18" s="51" t="str">
        <f t="shared" si="8"/>
        <v>NON</v>
      </c>
    </row>
    <row r="19" spans="1:34" x14ac:dyDescent="0.25">
      <c r="A19" s="51" t="str">
        <f t="shared" si="0"/>
        <v>MVT-0015</v>
      </c>
      <c r="B19" s="30"/>
      <c r="C19" s="25"/>
      <c r="D19" s="51" t="str">
        <f>IFERROR(INDEX(#REF!,MATCH(C19,#REF!,0)),"")</f>
        <v/>
      </c>
      <c r="E19" s="51" t="str">
        <f>IFERROR(INDEX(#REF!,MATCH(C19,#REF!,0)),"")</f>
        <v/>
      </c>
      <c r="F19" s="51" t="str">
        <f>IFERROR(INDEX(#REF!,MATCH(C19,#REF!,0)),"")</f>
        <v/>
      </c>
      <c r="G19" s="51" t="str">
        <f>IFERROR(INDEX(#REF!,MATCH(C19,#REF!,0)),"")</f>
        <v/>
      </c>
      <c r="H19" s="51" t="str">
        <f>IFERROR(INDEX(#REF!,MATCH(C19,#REF!,0)),"")</f>
        <v/>
      </c>
      <c r="I19" s="51" t="str">
        <f>IFERROR(INDEX(#REF!,MATCH(C19,#REF!,0)),"")</f>
        <v/>
      </c>
      <c r="J19" s="51" t="str">
        <f>IFERROR(INDEX(#REF!,MATCH(C19,#REF!,0)),"")</f>
        <v/>
      </c>
      <c r="K19" s="51" t="str">
        <f>IFERROR(INDEX(#REF!,MATCH(C19,#REF!,0)),"")</f>
        <v/>
      </c>
      <c r="L19" s="25"/>
      <c r="M19" s="25"/>
      <c r="N19" s="25"/>
      <c r="O19" s="25"/>
      <c r="P19" s="51" t="str">
        <f>IFERROR(INDEX(#REF!,MATCH(O19,#REF!,0)),"")</f>
        <v/>
      </c>
      <c r="Q19" s="51" t="str">
        <f>IFERROR(INDEX(#REF!,MATCH(O19,#REF!,0)),"")</f>
        <v/>
      </c>
      <c r="R19" s="51">
        <f t="shared" si="1"/>
        <v>0</v>
      </c>
      <c r="S19" s="29"/>
      <c r="T19" s="25"/>
      <c r="U19" s="25"/>
      <c r="V19" s="30"/>
      <c r="W19" s="30"/>
      <c r="X19" s="51" t="str">
        <f t="shared" ca="1" si="2"/>
        <v/>
      </c>
      <c r="Y19" s="25"/>
      <c r="Z19" s="25"/>
      <c r="AA19" s="51" t="str">
        <f t="shared" ca="1" si="3"/>
        <v/>
      </c>
      <c r="AB19" s="51" t="str">
        <f t="shared" ca="1" si="4"/>
        <v>NON</v>
      </c>
      <c r="AC19" s="51" t="str">
        <f t="shared" si="5"/>
        <v/>
      </c>
      <c r="AD19" s="51" t="str">
        <f>IF(O19&lt;&gt;"",COUNTIFS($O$5:O19,O19),"")</f>
        <v/>
      </c>
      <c r="AE19" s="51" t="str">
        <f t="shared" si="6"/>
        <v/>
      </c>
      <c r="AF19" s="51" t="str">
        <f ca="1">IF(AB19="OUI",COUNTIFS($AB$5:AB19,"OUI"),"")</f>
        <v/>
      </c>
      <c r="AG19" s="51" t="str">
        <f t="shared" ca="1" si="7"/>
        <v/>
      </c>
      <c r="AH19" s="51" t="str">
        <f t="shared" si="8"/>
        <v>NON</v>
      </c>
    </row>
    <row r="20" spans="1:34" x14ac:dyDescent="0.25">
      <c r="A20" s="51" t="str">
        <f t="shared" si="0"/>
        <v>MVT-0016</v>
      </c>
      <c r="B20" s="36"/>
      <c r="C20" s="31"/>
      <c r="D20" s="51" t="str">
        <f>IFERROR(INDEX(#REF!,MATCH(C20,#REF!,0)),"")</f>
        <v/>
      </c>
      <c r="E20" s="51" t="str">
        <f>IFERROR(INDEX(#REF!,MATCH(C20,#REF!,0)),"")</f>
        <v/>
      </c>
      <c r="F20" s="51" t="str">
        <f>IFERROR(INDEX(#REF!,MATCH(C20,#REF!,0)),"")</f>
        <v/>
      </c>
      <c r="G20" s="51" t="str">
        <f>IFERROR(INDEX(#REF!,MATCH(C20,#REF!,0)),"")</f>
        <v/>
      </c>
      <c r="H20" s="51" t="str">
        <f>IFERROR(INDEX(#REF!,MATCH(C20,#REF!,0)),"")</f>
        <v/>
      </c>
      <c r="I20" s="51" t="str">
        <f>IFERROR(INDEX(#REF!,MATCH(C20,#REF!,0)),"")</f>
        <v/>
      </c>
      <c r="J20" s="51" t="str">
        <f>IFERROR(INDEX(#REF!,MATCH(C20,#REF!,0)),"")</f>
        <v/>
      </c>
      <c r="K20" s="51" t="str">
        <f>IFERROR(INDEX(#REF!,MATCH(C20,#REF!,0)),"")</f>
        <v/>
      </c>
      <c r="L20" s="31"/>
      <c r="M20" s="31"/>
      <c r="N20" s="31"/>
      <c r="O20" s="31"/>
      <c r="P20" s="51" t="str">
        <f>IFERROR(INDEX(#REF!,MATCH(O20,#REF!,0)),"")</f>
        <v/>
      </c>
      <c r="Q20" s="51" t="str">
        <f>IFERROR(INDEX(#REF!,MATCH(O20,#REF!,0)),"")</f>
        <v/>
      </c>
      <c r="R20" s="51">
        <f t="shared" si="1"/>
        <v>0</v>
      </c>
      <c r="S20" s="35"/>
      <c r="T20" s="31"/>
      <c r="U20" s="31"/>
      <c r="V20" s="36"/>
      <c r="W20" s="36"/>
      <c r="X20" s="51" t="str">
        <f t="shared" ca="1" si="2"/>
        <v/>
      </c>
      <c r="Y20" s="31"/>
      <c r="Z20" s="31"/>
      <c r="AA20" s="51" t="str">
        <f t="shared" ca="1" si="3"/>
        <v/>
      </c>
      <c r="AB20" s="51" t="str">
        <f t="shared" ca="1" si="4"/>
        <v>NON</v>
      </c>
      <c r="AC20" s="51" t="str">
        <f t="shared" si="5"/>
        <v/>
      </c>
      <c r="AD20" s="51" t="str">
        <f>IF(O20&lt;&gt;"",COUNTIFS($O$5:O20,O20),"")</f>
        <v/>
      </c>
      <c r="AE20" s="51" t="str">
        <f t="shared" si="6"/>
        <v/>
      </c>
      <c r="AF20" s="51" t="str">
        <f ca="1">IF(AB20="OUI",COUNTIFS($AB$5:AB20,"OUI"),"")</f>
        <v/>
      </c>
      <c r="AG20" s="51" t="str">
        <f t="shared" ca="1" si="7"/>
        <v/>
      </c>
      <c r="AH20" s="51" t="str">
        <f t="shared" si="8"/>
        <v>NON</v>
      </c>
    </row>
    <row r="21" spans="1:34" x14ac:dyDescent="0.25">
      <c r="A21" s="51" t="str">
        <f t="shared" si="0"/>
        <v>MVT-0017</v>
      </c>
      <c r="B21" s="30"/>
      <c r="C21" s="25"/>
      <c r="D21" s="51" t="str">
        <f>IFERROR(INDEX(#REF!,MATCH(C21,#REF!,0)),"")</f>
        <v/>
      </c>
      <c r="E21" s="51" t="str">
        <f>IFERROR(INDEX(#REF!,MATCH(C21,#REF!,0)),"")</f>
        <v/>
      </c>
      <c r="F21" s="51" t="str">
        <f>IFERROR(INDEX(#REF!,MATCH(C21,#REF!,0)),"")</f>
        <v/>
      </c>
      <c r="G21" s="51" t="str">
        <f>IFERROR(INDEX(#REF!,MATCH(C21,#REF!,0)),"")</f>
        <v/>
      </c>
      <c r="H21" s="51" t="str">
        <f>IFERROR(INDEX(#REF!,MATCH(C21,#REF!,0)),"")</f>
        <v/>
      </c>
      <c r="I21" s="51" t="str">
        <f>IFERROR(INDEX(#REF!,MATCH(C21,#REF!,0)),"")</f>
        <v/>
      </c>
      <c r="J21" s="51" t="str">
        <f>IFERROR(INDEX(#REF!,MATCH(C21,#REF!,0)),"")</f>
        <v/>
      </c>
      <c r="K21" s="51" t="str">
        <f>IFERROR(INDEX(#REF!,MATCH(C21,#REF!,0)),"")</f>
        <v/>
      </c>
      <c r="L21" s="25"/>
      <c r="M21" s="25"/>
      <c r="N21" s="25"/>
      <c r="O21" s="25"/>
      <c r="P21" s="51" t="str">
        <f>IFERROR(INDEX(#REF!,MATCH(O21,#REF!,0)),"")</f>
        <v/>
      </c>
      <c r="Q21" s="51" t="str">
        <f>IFERROR(INDEX(#REF!,MATCH(O21,#REF!,0)),"")</f>
        <v/>
      </c>
      <c r="R21" s="51">
        <f t="shared" si="1"/>
        <v>0</v>
      </c>
      <c r="S21" s="29"/>
      <c r="T21" s="25"/>
      <c r="U21" s="25"/>
      <c r="V21" s="30"/>
      <c r="W21" s="30"/>
      <c r="X21" s="51" t="str">
        <f t="shared" ca="1" si="2"/>
        <v/>
      </c>
      <c r="Y21" s="25"/>
      <c r="Z21" s="25"/>
      <c r="AA21" s="51" t="str">
        <f t="shared" ca="1" si="3"/>
        <v/>
      </c>
      <c r="AB21" s="51" t="str">
        <f t="shared" ca="1" si="4"/>
        <v>NON</v>
      </c>
      <c r="AC21" s="51" t="str">
        <f t="shared" si="5"/>
        <v/>
      </c>
      <c r="AD21" s="51" t="str">
        <f>IF(O21&lt;&gt;"",COUNTIFS($O$5:O21,O21),"")</f>
        <v/>
      </c>
      <c r="AE21" s="51" t="str">
        <f t="shared" si="6"/>
        <v/>
      </c>
      <c r="AF21" s="51" t="str">
        <f ca="1">IF(AB21="OUI",COUNTIFS($AB$5:AB21,"OUI"),"")</f>
        <v/>
      </c>
      <c r="AG21" s="51" t="str">
        <f t="shared" ca="1" si="7"/>
        <v/>
      </c>
      <c r="AH21" s="51" t="str">
        <f t="shared" si="8"/>
        <v>NON</v>
      </c>
    </row>
    <row r="22" spans="1:34" x14ac:dyDescent="0.25">
      <c r="A22" s="51" t="str">
        <f t="shared" si="0"/>
        <v>MVT-0018</v>
      </c>
      <c r="B22" s="36"/>
      <c r="C22" s="31"/>
      <c r="D22" s="51" t="str">
        <f>IFERROR(INDEX(#REF!,MATCH(C22,#REF!,0)),"")</f>
        <v/>
      </c>
      <c r="E22" s="51" t="str">
        <f>IFERROR(INDEX(#REF!,MATCH(C22,#REF!,0)),"")</f>
        <v/>
      </c>
      <c r="F22" s="51" t="str">
        <f>IFERROR(INDEX(#REF!,MATCH(C22,#REF!,0)),"")</f>
        <v/>
      </c>
      <c r="G22" s="51" t="str">
        <f>IFERROR(INDEX(#REF!,MATCH(C22,#REF!,0)),"")</f>
        <v/>
      </c>
      <c r="H22" s="51" t="str">
        <f>IFERROR(INDEX(#REF!,MATCH(C22,#REF!,0)),"")</f>
        <v/>
      </c>
      <c r="I22" s="51" t="str">
        <f>IFERROR(INDEX(#REF!,MATCH(C22,#REF!,0)),"")</f>
        <v/>
      </c>
      <c r="J22" s="51" t="str">
        <f>IFERROR(INDEX(#REF!,MATCH(C22,#REF!,0)),"")</f>
        <v/>
      </c>
      <c r="K22" s="51" t="str">
        <f>IFERROR(INDEX(#REF!,MATCH(C22,#REF!,0)),"")</f>
        <v/>
      </c>
      <c r="L22" s="31"/>
      <c r="M22" s="31"/>
      <c r="N22" s="31"/>
      <c r="O22" s="31"/>
      <c r="P22" s="51" t="str">
        <f>IFERROR(INDEX(#REF!,MATCH(O22,#REF!,0)),"")</f>
        <v/>
      </c>
      <c r="Q22" s="51" t="str">
        <f>IFERROR(INDEX(#REF!,MATCH(O22,#REF!,0)),"")</f>
        <v/>
      </c>
      <c r="R22" s="51">
        <f t="shared" si="1"/>
        <v>0</v>
      </c>
      <c r="S22" s="35"/>
      <c r="T22" s="31"/>
      <c r="U22" s="31"/>
      <c r="V22" s="36"/>
      <c r="W22" s="36"/>
      <c r="X22" s="51" t="str">
        <f t="shared" ca="1" si="2"/>
        <v/>
      </c>
      <c r="Y22" s="31"/>
      <c r="Z22" s="31"/>
      <c r="AA22" s="51" t="str">
        <f t="shared" ca="1" si="3"/>
        <v/>
      </c>
      <c r="AB22" s="51" t="str">
        <f t="shared" ca="1" si="4"/>
        <v>NON</v>
      </c>
      <c r="AC22" s="51" t="str">
        <f t="shared" si="5"/>
        <v/>
      </c>
      <c r="AD22" s="51" t="str">
        <f>IF(O22&lt;&gt;"",COUNTIFS($O$5:O22,O22),"")</f>
        <v/>
      </c>
      <c r="AE22" s="51" t="str">
        <f t="shared" si="6"/>
        <v/>
      </c>
      <c r="AF22" s="51" t="str">
        <f ca="1">IF(AB22="OUI",COUNTIFS($AB$5:AB22,"OUI"),"")</f>
        <v/>
      </c>
      <c r="AG22" s="51" t="str">
        <f t="shared" ca="1" si="7"/>
        <v/>
      </c>
      <c r="AH22" s="51" t="str">
        <f t="shared" si="8"/>
        <v>NON</v>
      </c>
    </row>
    <row r="23" spans="1:34" x14ac:dyDescent="0.25">
      <c r="A23" s="51" t="str">
        <f t="shared" si="0"/>
        <v>MVT-0019</v>
      </c>
      <c r="B23" s="30"/>
      <c r="C23" s="25"/>
      <c r="D23" s="51" t="str">
        <f>IFERROR(INDEX(#REF!,MATCH(C23,#REF!,0)),"")</f>
        <v/>
      </c>
      <c r="E23" s="51" t="str">
        <f>IFERROR(INDEX(#REF!,MATCH(C23,#REF!,0)),"")</f>
        <v/>
      </c>
      <c r="F23" s="51" t="str">
        <f>IFERROR(INDEX(#REF!,MATCH(C23,#REF!,0)),"")</f>
        <v/>
      </c>
      <c r="G23" s="51" t="str">
        <f>IFERROR(INDEX(#REF!,MATCH(C23,#REF!,0)),"")</f>
        <v/>
      </c>
      <c r="H23" s="51" t="str">
        <f>IFERROR(INDEX(#REF!,MATCH(C23,#REF!,0)),"")</f>
        <v/>
      </c>
      <c r="I23" s="51" t="str">
        <f>IFERROR(INDEX(#REF!,MATCH(C23,#REF!,0)),"")</f>
        <v/>
      </c>
      <c r="J23" s="51" t="str">
        <f>IFERROR(INDEX(#REF!,MATCH(C23,#REF!,0)),"")</f>
        <v/>
      </c>
      <c r="K23" s="51" t="str">
        <f>IFERROR(INDEX(#REF!,MATCH(C23,#REF!,0)),"")</f>
        <v/>
      </c>
      <c r="L23" s="25"/>
      <c r="M23" s="25"/>
      <c r="N23" s="25"/>
      <c r="O23" s="25"/>
      <c r="P23" s="51" t="str">
        <f>IFERROR(INDEX(#REF!,MATCH(O23,#REF!,0)),"")</f>
        <v/>
      </c>
      <c r="Q23" s="51" t="str">
        <f>IFERROR(INDEX(#REF!,MATCH(O23,#REF!,0)),"")</f>
        <v/>
      </c>
      <c r="R23" s="51">
        <f t="shared" si="1"/>
        <v>0</v>
      </c>
      <c r="S23" s="29"/>
      <c r="T23" s="25"/>
      <c r="U23" s="25"/>
      <c r="V23" s="30"/>
      <c r="W23" s="30"/>
      <c r="X23" s="51" t="str">
        <f t="shared" ca="1" si="2"/>
        <v/>
      </c>
      <c r="Y23" s="25"/>
      <c r="Z23" s="25"/>
      <c r="AA23" s="51" t="str">
        <f t="shared" ca="1" si="3"/>
        <v/>
      </c>
      <c r="AB23" s="51" t="str">
        <f t="shared" ca="1" si="4"/>
        <v>NON</v>
      </c>
      <c r="AC23" s="51" t="str">
        <f t="shared" si="5"/>
        <v/>
      </c>
      <c r="AD23" s="51" t="str">
        <f>IF(O23&lt;&gt;"",COUNTIFS($O$5:O23,O23),"")</f>
        <v/>
      </c>
      <c r="AE23" s="51" t="str">
        <f t="shared" si="6"/>
        <v/>
      </c>
      <c r="AF23" s="51" t="str">
        <f ca="1">IF(AB23="OUI",COUNTIFS($AB$5:AB23,"OUI"),"")</f>
        <v/>
      </c>
      <c r="AG23" s="51" t="str">
        <f t="shared" ca="1" si="7"/>
        <v/>
      </c>
      <c r="AH23" s="51" t="str">
        <f t="shared" si="8"/>
        <v>NON</v>
      </c>
    </row>
    <row r="24" spans="1:34" x14ac:dyDescent="0.25">
      <c r="A24" s="51" t="str">
        <f t="shared" si="0"/>
        <v>MVT-0020</v>
      </c>
      <c r="B24" s="36"/>
      <c r="C24" s="31"/>
      <c r="D24" s="51" t="str">
        <f>IFERROR(INDEX(#REF!,MATCH(C24,#REF!,0)),"")</f>
        <v/>
      </c>
      <c r="E24" s="51" t="str">
        <f>IFERROR(INDEX(#REF!,MATCH(C24,#REF!,0)),"")</f>
        <v/>
      </c>
      <c r="F24" s="51" t="str">
        <f>IFERROR(INDEX(#REF!,MATCH(C24,#REF!,0)),"")</f>
        <v/>
      </c>
      <c r="G24" s="51" t="str">
        <f>IFERROR(INDEX(#REF!,MATCH(C24,#REF!,0)),"")</f>
        <v/>
      </c>
      <c r="H24" s="51" t="str">
        <f>IFERROR(INDEX(#REF!,MATCH(C24,#REF!,0)),"")</f>
        <v/>
      </c>
      <c r="I24" s="51" t="str">
        <f>IFERROR(INDEX(#REF!,MATCH(C24,#REF!,0)),"")</f>
        <v/>
      </c>
      <c r="J24" s="51" t="str">
        <f>IFERROR(INDEX(#REF!,MATCH(C24,#REF!,0)),"")</f>
        <v/>
      </c>
      <c r="K24" s="51" t="str">
        <f>IFERROR(INDEX(#REF!,MATCH(C24,#REF!,0)),"")</f>
        <v/>
      </c>
      <c r="L24" s="31"/>
      <c r="M24" s="31"/>
      <c r="N24" s="31"/>
      <c r="O24" s="31"/>
      <c r="P24" s="51" t="str">
        <f>IFERROR(INDEX(#REF!,MATCH(O24,#REF!,0)),"")</f>
        <v/>
      </c>
      <c r="Q24" s="51" t="str">
        <f>IFERROR(INDEX(#REF!,MATCH(O24,#REF!,0)),"")</f>
        <v/>
      </c>
      <c r="R24" s="51">
        <f t="shared" si="1"/>
        <v>0</v>
      </c>
      <c r="S24" s="35"/>
      <c r="T24" s="31"/>
      <c r="U24" s="31"/>
      <c r="V24" s="36"/>
      <c r="W24" s="36"/>
      <c r="X24" s="51" t="str">
        <f t="shared" ca="1" si="2"/>
        <v/>
      </c>
      <c r="Y24" s="31"/>
      <c r="Z24" s="31"/>
      <c r="AA24" s="51" t="str">
        <f t="shared" ca="1" si="3"/>
        <v/>
      </c>
      <c r="AB24" s="51" t="str">
        <f t="shared" ca="1" si="4"/>
        <v>NON</v>
      </c>
      <c r="AC24" s="51" t="str">
        <f t="shared" si="5"/>
        <v/>
      </c>
      <c r="AD24" s="51" t="str">
        <f>IF(O24&lt;&gt;"",COUNTIFS($O$5:O24,O24),"")</f>
        <v/>
      </c>
      <c r="AE24" s="51" t="str">
        <f t="shared" si="6"/>
        <v/>
      </c>
      <c r="AF24" s="51" t="str">
        <f ca="1">IF(AB24="OUI",COUNTIFS($AB$5:AB24,"OUI"),"")</f>
        <v/>
      </c>
      <c r="AG24" s="51" t="str">
        <f t="shared" ca="1" si="7"/>
        <v/>
      </c>
      <c r="AH24" s="51" t="str">
        <f t="shared" si="8"/>
        <v>NON</v>
      </c>
    </row>
    <row r="25" spans="1:34" x14ac:dyDescent="0.25">
      <c r="A25" s="51" t="str">
        <f t="shared" si="0"/>
        <v>MVT-0021</v>
      </c>
      <c r="B25" s="30"/>
      <c r="C25" s="25"/>
      <c r="D25" s="51" t="str">
        <f>IFERROR(INDEX(#REF!,MATCH(C25,#REF!,0)),"")</f>
        <v/>
      </c>
      <c r="E25" s="51" t="str">
        <f>IFERROR(INDEX(#REF!,MATCH(C25,#REF!,0)),"")</f>
        <v/>
      </c>
      <c r="F25" s="51" t="str">
        <f>IFERROR(INDEX(#REF!,MATCH(C25,#REF!,0)),"")</f>
        <v/>
      </c>
      <c r="G25" s="51" t="str">
        <f>IFERROR(INDEX(#REF!,MATCH(C25,#REF!,0)),"")</f>
        <v/>
      </c>
      <c r="H25" s="51" t="str">
        <f>IFERROR(INDEX(#REF!,MATCH(C25,#REF!,0)),"")</f>
        <v/>
      </c>
      <c r="I25" s="51" t="str">
        <f>IFERROR(INDEX(#REF!,MATCH(C25,#REF!,0)),"")</f>
        <v/>
      </c>
      <c r="J25" s="51" t="str">
        <f>IFERROR(INDEX(#REF!,MATCH(C25,#REF!,0)),"")</f>
        <v/>
      </c>
      <c r="K25" s="51" t="str">
        <f>IFERROR(INDEX(#REF!,MATCH(C25,#REF!,0)),"")</f>
        <v/>
      </c>
      <c r="L25" s="25"/>
      <c r="M25" s="25"/>
      <c r="N25" s="25"/>
      <c r="O25" s="25"/>
      <c r="P25" s="51" t="str">
        <f>IFERROR(INDEX(#REF!,MATCH(O25,#REF!,0)),"")</f>
        <v/>
      </c>
      <c r="Q25" s="51" t="str">
        <f>IFERROR(INDEX(#REF!,MATCH(O25,#REF!,0)),"")</f>
        <v/>
      </c>
      <c r="R25" s="51">
        <f t="shared" si="1"/>
        <v>0</v>
      </c>
      <c r="S25" s="29"/>
      <c r="T25" s="25"/>
      <c r="U25" s="25"/>
      <c r="V25" s="30"/>
      <c r="W25" s="30"/>
      <c r="X25" s="51" t="str">
        <f t="shared" ca="1" si="2"/>
        <v/>
      </c>
      <c r="Y25" s="25"/>
      <c r="Z25" s="25"/>
      <c r="AA25" s="51" t="str">
        <f t="shared" ca="1" si="3"/>
        <v/>
      </c>
      <c r="AB25" s="51" t="str">
        <f t="shared" ca="1" si="4"/>
        <v>NON</v>
      </c>
      <c r="AC25" s="51" t="str">
        <f t="shared" si="5"/>
        <v/>
      </c>
      <c r="AD25" s="51" t="str">
        <f>IF(O25&lt;&gt;"",COUNTIFS($O$5:O25,O25),"")</f>
        <v/>
      </c>
      <c r="AE25" s="51" t="str">
        <f t="shared" si="6"/>
        <v/>
      </c>
      <c r="AF25" s="51" t="str">
        <f ca="1">IF(AB25="OUI",COUNTIFS($AB$5:AB25,"OUI"),"")</f>
        <v/>
      </c>
      <c r="AG25" s="51" t="str">
        <f t="shared" ca="1" si="7"/>
        <v/>
      </c>
      <c r="AH25" s="51" t="str">
        <f t="shared" si="8"/>
        <v>NON</v>
      </c>
    </row>
    <row r="26" spans="1:34" x14ac:dyDescent="0.25">
      <c r="A26" s="51" t="str">
        <f t="shared" si="0"/>
        <v>MVT-0022</v>
      </c>
      <c r="B26" s="36"/>
      <c r="C26" s="31"/>
      <c r="D26" s="51" t="str">
        <f>IFERROR(INDEX(#REF!,MATCH(C26,#REF!,0)),"")</f>
        <v/>
      </c>
      <c r="E26" s="51" t="str">
        <f>IFERROR(INDEX(#REF!,MATCH(C26,#REF!,0)),"")</f>
        <v/>
      </c>
      <c r="F26" s="51" t="str">
        <f>IFERROR(INDEX(#REF!,MATCH(C26,#REF!,0)),"")</f>
        <v/>
      </c>
      <c r="G26" s="51" t="str">
        <f>IFERROR(INDEX(#REF!,MATCH(C26,#REF!,0)),"")</f>
        <v/>
      </c>
      <c r="H26" s="51" t="str">
        <f>IFERROR(INDEX(#REF!,MATCH(C26,#REF!,0)),"")</f>
        <v/>
      </c>
      <c r="I26" s="51" t="str">
        <f>IFERROR(INDEX(#REF!,MATCH(C26,#REF!,0)),"")</f>
        <v/>
      </c>
      <c r="J26" s="51" t="str">
        <f>IFERROR(INDEX(#REF!,MATCH(C26,#REF!,0)),"")</f>
        <v/>
      </c>
      <c r="K26" s="51" t="str">
        <f>IFERROR(INDEX(#REF!,MATCH(C26,#REF!,0)),"")</f>
        <v/>
      </c>
      <c r="L26" s="31"/>
      <c r="M26" s="31"/>
      <c r="N26" s="31"/>
      <c r="O26" s="31"/>
      <c r="P26" s="51" t="str">
        <f>IFERROR(INDEX(#REF!,MATCH(O26,#REF!,0)),"")</f>
        <v/>
      </c>
      <c r="Q26" s="51" t="str">
        <f>IFERROR(INDEX(#REF!,MATCH(O26,#REF!,0)),"")</f>
        <v/>
      </c>
      <c r="R26" s="51">
        <f t="shared" si="1"/>
        <v>0</v>
      </c>
      <c r="S26" s="35"/>
      <c r="T26" s="31"/>
      <c r="U26" s="31"/>
      <c r="V26" s="36"/>
      <c r="W26" s="36"/>
      <c r="X26" s="51" t="str">
        <f t="shared" ca="1" si="2"/>
        <v/>
      </c>
      <c r="Y26" s="31"/>
      <c r="Z26" s="31"/>
      <c r="AA26" s="51" t="str">
        <f t="shared" ca="1" si="3"/>
        <v/>
      </c>
      <c r="AB26" s="51" t="str">
        <f t="shared" ca="1" si="4"/>
        <v>NON</v>
      </c>
      <c r="AC26" s="51" t="str">
        <f t="shared" si="5"/>
        <v/>
      </c>
      <c r="AD26" s="51" t="str">
        <f>IF(O26&lt;&gt;"",COUNTIFS($O$5:O26,O26),"")</f>
        <v/>
      </c>
      <c r="AE26" s="51" t="str">
        <f t="shared" si="6"/>
        <v/>
      </c>
      <c r="AF26" s="51" t="str">
        <f ca="1">IF(AB26="OUI",COUNTIFS($AB$5:AB26,"OUI"),"")</f>
        <v/>
      </c>
      <c r="AG26" s="51" t="str">
        <f t="shared" ca="1" si="7"/>
        <v/>
      </c>
      <c r="AH26" s="51" t="str">
        <f t="shared" si="8"/>
        <v>NON</v>
      </c>
    </row>
    <row r="27" spans="1:34" x14ac:dyDescent="0.25">
      <c r="A27" s="51" t="str">
        <f t="shared" si="0"/>
        <v>MVT-0023</v>
      </c>
      <c r="B27" s="30"/>
      <c r="C27" s="25"/>
      <c r="D27" s="51" t="str">
        <f>IFERROR(INDEX(#REF!,MATCH(C27,#REF!,0)),"")</f>
        <v/>
      </c>
      <c r="E27" s="51" t="str">
        <f>IFERROR(INDEX(#REF!,MATCH(C27,#REF!,0)),"")</f>
        <v/>
      </c>
      <c r="F27" s="51" t="str">
        <f>IFERROR(INDEX(#REF!,MATCH(C27,#REF!,0)),"")</f>
        <v/>
      </c>
      <c r="G27" s="51" t="str">
        <f>IFERROR(INDEX(#REF!,MATCH(C27,#REF!,0)),"")</f>
        <v/>
      </c>
      <c r="H27" s="51" t="str">
        <f>IFERROR(INDEX(#REF!,MATCH(C27,#REF!,0)),"")</f>
        <v/>
      </c>
      <c r="I27" s="51" t="str">
        <f>IFERROR(INDEX(#REF!,MATCH(C27,#REF!,0)),"")</f>
        <v/>
      </c>
      <c r="J27" s="51" t="str">
        <f>IFERROR(INDEX(#REF!,MATCH(C27,#REF!,0)),"")</f>
        <v/>
      </c>
      <c r="K27" s="51" t="str">
        <f>IFERROR(INDEX(#REF!,MATCH(C27,#REF!,0)),"")</f>
        <v/>
      </c>
      <c r="L27" s="25"/>
      <c r="M27" s="25"/>
      <c r="N27" s="25"/>
      <c r="O27" s="25"/>
      <c r="P27" s="51" t="str">
        <f>IFERROR(INDEX(#REF!,MATCH(O27,#REF!,0)),"")</f>
        <v/>
      </c>
      <c r="Q27" s="51" t="str">
        <f>IFERROR(INDEX(#REF!,MATCH(O27,#REF!,0)),"")</f>
        <v/>
      </c>
      <c r="R27" s="51">
        <f t="shared" si="1"/>
        <v>0</v>
      </c>
      <c r="S27" s="29"/>
      <c r="T27" s="25"/>
      <c r="U27" s="25"/>
      <c r="V27" s="30"/>
      <c r="W27" s="30"/>
      <c r="X27" s="51" t="str">
        <f t="shared" ca="1" si="2"/>
        <v/>
      </c>
      <c r="Y27" s="25"/>
      <c r="Z27" s="25"/>
      <c r="AA27" s="51" t="str">
        <f t="shared" ca="1" si="3"/>
        <v/>
      </c>
      <c r="AB27" s="51" t="str">
        <f t="shared" ca="1" si="4"/>
        <v>NON</v>
      </c>
      <c r="AC27" s="51" t="str">
        <f t="shared" si="5"/>
        <v/>
      </c>
      <c r="AD27" s="51" t="str">
        <f>IF(O27&lt;&gt;"",COUNTIFS($O$5:O27,O27),"")</f>
        <v/>
      </c>
      <c r="AE27" s="51" t="str">
        <f t="shared" si="6"/>
        <v/>
      </c>
      <c r="AF27" s="51" t="str">
        <f ca="1">IF(AB27="OUI",COUNTIFS($AB$5:AB27,"OUI"),"")</f>
        <v/>
      </c>
      <c r="AG27" s="51" t="str">
        <f t="shared" ca="1" si="7"/>
        <v/>
      </c>
      <c r="AH27" s="51" t="str">
        <f t="shared" si="8"/>
        <v>NON</v>
      </c>
    </row>
    <row r="28" spans="1:34" x14ac:dyDescent="0.25">
      <c r="A28" s="51" t="str">
        <f t="shared" si="0"/>
        <v>MVT-0024</v>
      </c>
      <c r="B28" s="36"/>
      <c r="C28" s="31"/>
      <c r="D28" s="51" t="str">
        <f>IFERROR(INDEX(#REF!,MATCH(C28,#REF!,0)),"")</f>
        <v/>
      </c>
      <c r="E28" s="51" t="str">
        <f>IFERROR(INDEX(#REF!,MATCH(C28,#REF!,0)),"")</f>
        <v/>
      </c>
      <c r="F28" s="51" t="str">
        <f>IFERROR(INDEX(#REF!,MATCH(C28,#REF!,0)),"")</f>
        <v/>
      </c>
      <c r="G28" s="51" t="str">
        <f>IFERROR(INDEX(#REF!,MATCH(C28,#REF!,0)),"")</f>
        <v/>
      </c>
      <c r="H28" s="51" t="str">
        <f>IFERROR(INDEX(#REF!,MATCH(C28,#REF!,0)),"")</f>
        <v/>
      </c>
      <c r="I28" s="51" t="str">
        <f>IFERROR(INDEX(#REF!,MATCH(C28,#REF!,0)),"")</f>
        <v/>
      </c>
      <c r="J28" s="51" t="str">
        <f>IFERROR(INDEX(#REF!,MATCH(C28,#REF!,0)),"")</f>
        <v/>
      </c>
      <c r="K28" s="51" t="str">
        <f>IFERROR(INDEX(#REF!,MATCH(C28,#REF!,0)),"")</f>
        <v/>
      </c>
      <c r="L28" s="31"/>
      <c r="M28" s="31"/>
      <c r="N28" s="31"/>
      <c r="O28" s="31"/>
      <c r="P28" s="51" t="str">
        <f>IFERROR(INDEX(#REF!,MATCH(O28,#REF!,0)),"")</f>
        <v/>
      </c>
      <c r="Q28" s="51" t="str">
        <f>IFERROR(INDEX(#REF!,MATCH(O28,#REF!,0)),"")</f>
        <v/>
      </c>
      <c r="R28" s="51">
        <f t="shared" si="1"/>
        <v>0</v>
      </c>
      <c r="S28" s="35"/>
      <c r="T28" s="31"/>
      <c r="U28" s="31"/>
      <c r="V28" s="36"/>
      <c r="W28" s="36"/>
      <c r="X28" s="51" t="str">
        <f t="shared" ca="1" si="2"/>
        <v/>
      </c>
      <c r="Y28" s="31"/>
      <c r="Z28" s="31"/>
      <c r="AA28" s="51" t="str">
        <f t="shared" ca="1" si="3"/>
        <v/>
      </c>
      <c r="AB28" s="51" t="str">
        <f t="shared" ca="1" si="4"/>
        <v>NON</v>
      </c>
      <c r="AC28" s="51" t="str">
        <f t="shared" si="5"/>
        <v/>
      </c>
      <c r="AD28" s="51" t="str">
        <f>IF(O28&lt;&gt;"",COUNTIFS($O$5:O28,O28),"")</f>
        <v/>
      </c>
      <c r="AE28" s="51" t="str">
        <f t="shared" si="6"/>
        <v/>
      </c>
      <c r="AF28" s="51" t="str">
        <f ca="1">IF(AB28="OUI",COUNTIFS($AB$5:AB28,"OUI"),"")</f>
        <v/>
      </c>
      <c r="AG28" s="51" t="str">
        <f t="shared" ca="1" si="7"/>
        <v/>
      </c>
      <c r="AH28" s="51" t="str">
        <f t="shared" si="8"/>
        <v>NON</v>
      </c>
    </row>
    <row r="29" spans="1:34" x14ac:dyDescent="0.25">
      <c r="A29" s="51" t="str">
        <f t="shared" si="0"/>
        <v>MVT-0025</v>
      </c>
      <c r="B29" s="30"/>
      <c r="C29" s="25"/>
      <c r="D29" s="51" t="str">
        <f>IFERROR(INDEX(#REF!,MATCH(C29,#REF!,0)),"")</f>
        <v/>
      </c>
      <c r="E29" s="51" t="str">
        <f>IFERROR(INDEX(#REF!,MATCH(C29,#REF!,0)),"")</f>
        <v/>
      </c>
      <c r="F29" s="51" t="str">
        <f>IFERROR(INDEX(#REF!,MATCH(C29,#REF!,0)),"")</f>
        <v/>
      </c>
      <c r="G29" s="51" t="str">
        <f>IFERROR(INDEX(#REF!,MATCH(C29,#REF!,0)),"")</f>
        <v/>
      </c>
      <c r="H29" s="51" t="str">
        <f>IFERROR(INDEX(#REF!,MATCH(C29,#REF!,0)),"")</f>
        <v/>
      </c>
      <c r="I29" s="51" t="str">
        <f>IFERROR(INDEX(#REF!,MATCH(C29,#REF!,0)),"")</f>
        <v/>
      </c>
      <c r="J29" s="51" t="str">
        <f>IFERROR(INDEX(#REF!,MATCH(C29,#REF!,0)),"")</f>
        <v/>
      </c>
      <c r="K29" s="51" t="str">
        <f>IFERROR(INDEX(#REF!,MATCH(C29,#REF!,0)),"")</f>
        <v/>
      </c>
      <c r="L29" s="25"/>
      <c r="M29" s="25"/>
      <c r="N29" s="25"/>
      <c r="O29" s="25"/>
      <c r="P29" s="51" t="str">
        <f>IFERROR(INDEX(#REF!,MATCH(O29,#REF!,0)),"")</f>
        <v/>
      </c>
      <c r="Q29" s="51" t="str">
        <f>IFERROR(INDEX(#REF!,MATCH(O29,#REF!,0)),"")</f>
        <v/>
      </c>
      <c r="R29" s="51">
        <f t="shared" si="1"/>
        <v>0</v>
      </c>
      <c r="S29" s="29"/>
      <c r="T29" s="25"/>
      <c r="U29" s="25"/>
      <c r="V29" s="30"/>
      <c r="W29" s="30"/>
      <c r="X29" s="51" t="str">
        <f t="shared" ca="1" si="2"/>
        <v/>
      </c>
      <c r="Y29" s="25"/>
      <c r="Z29" s="25"/>
      <c r="AA29" s="51" t="str">
        <f t="shared" ca="1" si="3"/>
        <v/>
      </c>
      <c r="AB29" s="51" t="str">
        <f t="shared" ca="1" si="4"/>
        <v>NON</v>
      </c>
      <c r="AC29" s="51" t="str">
        <f t="shared" si="5"/>
        <v/>
      </c>
      <c r="AD29" s="51" t="str">
        <f>IF(O29&lt;&gt;"",COUNTIFS($O$5:O29,O29),"")</f>
        <v/>
      </c>
      <c r="AE29" s="51" t="str">
        <f t="shared" si="6"/>
        <v/>
      </c>
      <c r="AF29" s="51" t="str">
        <f ca="1">IF(AB29="OUI",COUNTIFS($AB$5:AB29,"OUI"),"")</f>
        <v/>
      </c>
      <c r="AG29" s="51" t="str">
        <f t="shared" ca="1" si="7"/>
        <v/>
      </c>
      <c r="AH29" s="51" t="str">
        <f t="shared" si="8"/>
        <v>NON</v>
      </c>
    </row>
    <row r="30" spans="1:34" x14ac:dyDescent="0.25">
      <c r="A30" s="51" t="str">
        <f t="shared" si="0"/>
        <v>MVT-0026</v>
      </c>
      <c r="B30" s="36"/>
      <c r="C30" s="31"/>
      <c r="D30" s="51" t="str">
        <f>IFERROR(INDEX(#REF!,MATCH(C30,#REF!,0)),"")</f>
        <v/>
      </c>
      <c r="E30" s="51" t="str">
        <f>IFERROR(INDEX(#REF!,MATCH(C30,#REF!,0)),"")</f>
        <v/>
      </c>
      <c r="F30" s="51" t="str">
        <f>IFERROR(INDEX(#REF!,MATCH(C30,#REF!,0)),"")</f>
        <v/>
      </c>
      <c r="G30" s="51" t="str">
        <f>IFERROR(INDEX(#REF!,MATCH(C30,#REF!,0)),"")</f>
        <v/>
      </c>
      <c r="H30" s="51" t="str">
        <f>IFERROR(INDEX(#REF!,MATCH(C30,#REF!,0)),"")</f>
        <v/>
      </c>
      <c r="I30" s="51" t="str">
        <f>IFERROR(INDEX(#REF!,MATCH(C30,#REF!,0)),"")</f>
        <v/>
      </c>
      <c r="J30" s="51" t="str">
        <f>IFERROR(INDEX(#REF!,MATCH(C30,#REF!,0)),"")</f>
        <v/>
      </c>
      <c r="K30" s="51" t="str">
        <f>IFERROR(INDEX(#REF!,MATCH(C30,#REF!,0)),"")</f>
        <v/>
      </c>
      <c r="L30" s="31"/>
      <c r="M30" s="31"/>
      <c r="N30" s="31"/>
      <c r="O30" s="31"/>
      <c r="P30" s="51" t="str">
        <f>IFERROR(INDEX(#REF!,MATCH(O30,#REF!,0)),"")</f>
        <v/>
      </c>
      <c r="Q30" s="51" t="str">
        <f>IFERROR(INDEX(#REF!,MATCH(O30,#REF!,0)),"")</f>
        <v/>
      </c>
      <c r="R30" s="51">
        <f t="shared" si="1"/>
        <v>0</v>
      </c>
      <c r="S30" s="35"/>
      <c r="T30" s="31"/>
      <c r="U30" s="31"/>
      <c r="V30" s="36"/>
      <c r="W30" s="36"/>
      <c r="X30" s="51" t="str">
        <f t="shared" ca="1" si="2"/>
        <v/>
      </c>
      <c r="Y30" s="31"/>
      <c r="Z30" s="31"/>
      <c r="AA30" s="51" t="str">
        <f t="shared" ca="1" si="3"/>
        <v/>
      </c>
      <c r="AB30" s="51" t="str">
        <f t="shared" ca="1" si="4"/>
        <v>NON</v>
      </c>
      <c r="AC30" s="51" t="str">
        <f t="shared" si="5"/>
        <v/>
      </c>
      <c r="AD30" s="51" t="str">
        <f>IF(O30&lt;&gt;"",COUNTIFS($O$5:O30,O30),"")</f>
        <v/>
      </c>
      <c r="AE30" s="51" t="str">
        <f t="shared" si="6"/>
        <v/>
      </c>
      <c r="AF30" s="51" t="str">
        <f ca="1">IF(AB30="OUI",COUNTIFS($AB$5:AB30,"OUI"),"")</f>
        <v/>
      </c>
      <c r="AG30" s="51" t="str">
        <f t="shared" ca="1" si="7"/>
        <v/>
      </c>
      <c r="AH30" s="51" t="str">
        <f t="shared" si="8"/>
        <v>NON</v>
      </c>
    </row>
    <row r="31" spans="1:34" x14ac:dyDescent="0.25">
      <c r="A31" s="51" t="str">
        <f t="shared" si="0"/>
        <v>MVT-0027</v>
      </c>
      <c r="B31" s="30"/>
      <c r="C31" s="25"/>
      <c r="D31" s="51" t="str">
        <f>IFERROR(INDEX(#REF!,MATCH(C31,#REF!,0)),"")</f>
        <v/>
      </c>
      <c r="E31" s="51" t="str">
        <f>IFERROR(INDEX(#REF!,MATCH(C31,#REF!,0)),"")</f>
        <v/>
      </c>
      <c r="F31" s="51" t="str">
        <f>IFERROR(INDEX(#REF!,MATCH(C31,#REF!,0)),"")</f>
        <v/>
      </c>
      <c r="G31" s="51" t="str">
        <f>IFERROR(INDEX(#REF!,MATCH(C31,#REF!,0)),"")</f>
        <v/>
      </c>
      <c r="H31" s="51" t="str">
        <f>IFERROR(INDEX(#REF!,MATCH(C31,#REF!,0)),"")</f>
        <v/>
      </c>
      <c r="I31" s="51" t="str">
        <f>IFERROR(INDEX(#REF!,MATCH(C31,#REF!,0)),"")</f>
        <v/>
      </c>
      <c r="J31" s="51" t="str">
        <f>IFERROR(INDEX(#REF!,MATCH(C31,#REF!,0)),"")</f>
        <v/>
      </c>
      <c r="K31" s="51" t="str">
        <f>IFERROR(INDEX(#REF!,MATCH(C31,#REF!,0)),"")</f>
        <v/>
      </c>
      <c r="L31" s="25"/>
      <c r="M31" s="25"/>
      <c r="N31" s="25"/>
      <c r="O31" s="25"/>
      <c r="P31" s="51" t="str">
        <f>IFERROR(INDEX(#REF!,MATCH(O31,#REF!,0)),"")</f>
        <v/>
      </c>
      <c r="Q31" s="51" t="str">
        <f>IFERROR(INDEX(#REF!,MATCH(O31,#REF!,0)),"")</f>
        <v/>
      </c>
      <c r="R31" s="51">
        <f t="shared" si="1"/>
        <v>0</v>
      </c>
      <c r="S31" s="29"/>
      <c r="T31" s="25"/>
      <c r="U31" s="25"/>
      <c r="V31" s="30"/>
      <c r="W31" s="30"/>
      <c r="X31" s="51" t="str">
        <f t="shared" ca="1" si="2"/>
        <v/>
      </c>
      <c r="Y31" s="25"/>
      <c r="Z31" s="25"/>
      <c r="AA31" s="51" t="str">
        <f t="shared" ca="1" si="3"/>
        <v/>
      </c>
      <c r="AB31" s="51" t="str">
        <f t="shared" ca="1" si="4"/>
        <v>NON</v>
      </c>
      <c r="AC31" s="51" t="str">
        <f t="shared" si="5"/>
        <v/>
      </c>
      <c r="AD31" s="51" t="str">
        <f>IF(O31&lt;&gt;"",COUNTIFS($O$5:O31,O31),"")</f>
        <v/>
      </c>
      <c r="AE31" s="51" t="str">
        <f t="shared" si="6"/>
        <v/>
      </c>
      <c r="AF31" s="51" t="str">
        <f ca="1">IF(AB31="OUI",COUNTIFS($AB$5:AB31,"OUI"),"")</f>
        <v/>
      </c>
      <c r="AG31" s="51" t="str">
        <f t="shared" ca="1" si="7"/>
        <v/>
      </c>
      <c r="AH31" s="51" t="str">
        <f t="shared" si="8"/>
        <v>NON</v>
      </c>
    </row>
    <row r="32" spans="1:34" x14ac:dyDescent="0.25">
      <c r="A32" s="51" t="str">
        <f t="shared" si="0"/>
        <v>MVT-0028</v>
      </c>
      <c r="B32" s="36"/>
      <c r="C32" s="31"/>
      <c r="D32" s="51" t="str">
        <f>IFERROR(INDEX(#REF!,MATCH(C32,#REF!,0)),"")</f>
        <v/>
      </c>
      <c r="E32" s="51" t="str">
        <f>IFERROR(INDEX(#REF!,MATCH(C32,#REF!,0)),"")</f>
        <v/>
      </c>
      <c r="F32" s="51" t="str">
        <f>IFERROR(INDEX(#REF!,MATCH(C32,#REF!,0)),"")</f>
        <v/>
      </c>
      <c r="G32" s="51" t="str">
        <f>IFERROR(INDEX(#REF!,MATCH(C32,#REF!,0)),"")</f>
        <v/>
      </c>
      <c r="H32" s="51" t="str">
        <f>IFERROR(INDEX(#REF!,MATCH(C32,#REF!,0)),"")</f>
        <v/>
      </c>
      <c r="I32" s="51" t="str">
        <f>IFERROR(INDEX(#REF!,MATCH(C32,#REF!,0)),"")</f>
        <v/>
      </c>
      <c r="J32" s="51" t="str">
        <f>IFERROR(INDEX(#REF!,MATCH(C32,#REF!,0)),"")</f>
        <v/>
      </c>
      <c r="K32" s="51" t="str">
        <f>IFERROR(INDEX(#REF!,MATCH(C32,#REF!,0)),"")</f>
        <v/>
      </c>
      <c r="L32" s="31"/>
      <c r="M32" s="31"/>
      <c r="N32" s="31"/>
      <c r="O32" s="31"/>
      <c r="P32" s="51" t="str">
        <f>IFERROR(INDEX(#REF!,MATCH(O32,#REF!,0)),"")</f>
        <v/>
      </c>
      <c r="Q32" s="51" t="str">
        <f>IFERROR(INDEX(#REF!,MATCH(O32,#REF!,0)),"")</f>
        <v/>
      </c>
      <c r="R32" s="51">
        <f t="shared" si="1"/>
        <v>0</v>
      </c>
      <c r="S32" s="35"/>
      <c r="T32" s="31"/>
      <c r="U32" s="31"/>
      <c r="V32" s="36"/>
      <c r="W32" s="36"/>
      <c r="X32" s="51" t="str">
        <f t="shared" ca="1" si="2"/>
        <v/>
      </c>
      <c r="Y32" s="31"/>
      <c r="Z32" s="31"/>
      <c r="AA32" s="51" t="str">
        <f t="shared" ca="1" si="3"/>
        <v/>
      </c>
      <c r="AB32" s="51" t="str">
        <f t="shared" ca="1" si="4"/>
        <v>NON</v>
      </c>
      <c r="AC32" s="51" t="str">
        <f t="shared" si="5"/>
        <v/>
      </c>
      <c r="AD32" s="51" t="str">
        <f>IF(O32&lt;&gt;"",COUNTIFS($O$5:O32,O32),"")</f>
        <v/>
      </c>
      <c r="AE32" s="51" t="str">
        <f t="shared" si="6"/>
        <v/>
      </c>
      <c r="AF32" s="51" t="str">
        <f ca="1">IF(AB32="OUI",COUNTIFS($AB$5:AB32,"OUI"),"")</f>
        <v/>
      </c>
      <c r="AG32" s="51" t="str">
        <f t="shared" ca="1" si="7"/>
        <v/>
      </c>
      <c r="AH32" s="51" t="str">
        <f t="shared" si="8"/>
        <v>NON</v>
      </c>
    </row>
    <row r="33" spans="1:34" x14ac:dyDescent="0.25">
      <c r="A33" s="51" t="str">
        <f t="shared" si="0"/>
        <v>MVT-0029</v>
      </c>
      <c r="B33" s="30"/>
      <c r="C33" s="25"/>
      <c r="D33" s="51" t="str">
        <f>IFERROR(INDEX(#REF!,MATCH(C33,#REF!,0)),"")</f>
        <v/>
      </c>
      <c r="E33" s="51" t="str">
        <f>IFERROR(INDEX(#REF!,MATCH(C33,#REF!,0)),"")</f>
        <v/>
      </c>
      <c r="F33" s="51" t="str">
        <f>IFERROR(INDEX(#REF!,MATCH(C33,#REF!,0)),"")</f>
        <v/>
      </c>
      <c r="G33" s="51" t="str">
        <f>IFERROR(INDEX(#REF!,MATCH(C33,#REF!,0)),"")</f>
        <v/>
      </c>
      <c r="H33" s="51" t="str">
        <f>IFERROR(INDEX(#REF!,MATCH(C33,#REF!,0)),"")</f>
        <v/>
      </c>
      <c r="I33" s="51" t="str">
        <f>IFERROR(INDEX(#REF!,MATCH(C33,#REF!,0)),"")</f>
        <v/>
      </c>
      <c r="J33" s="51" t="str">
        <f>IFERROR(INDEX(#REF!,MATCH(C33,#REF!,0)),"")</f>
        <v/>
      </c>
      <c r="K33" s="51" t="str">
        <f>IFERROR(INDEX(#REF!,MATCH(C33,#REF!,0)),"")</f>
        <v/>
      </c>
      <c r="L33" s="25"/>
      <c r="M33" s="25"/>
      <c r="N33" s="25"/>
      <c r="O33" s="25"/>
      <c r="P33" s="51" t="str">
        <f>IFERROR(INDEX(#REF!,MATCH(O33,#REF!,0)),"")</f>
        <v/>
      </c>
      <c r="Q33" s="51" t="str">
        <f>IFERROR(INDEX(#REF!,MATCH(O33,#REF!,0)),"")</f>
        <v/>
      </c>
      <c r="R33" s="51">
        <f t="shared" si="1"/>
        <v>0</v>
      </c>
      <c r="S33" s="29"/>
      <c r="T33" s="25"/>
      <c r="U33" s="25"/>
      <c r="V33" s="30"/>
      <c r="W33" s="30"/>
      <c r="X33" s="51" t="str">
        <f t="shared" ca="1" si="2"/>
        <v/>
      </c>
      <c r="Y33" s="25"/>
      <c r="Z33" s="25"/>
      <c r="AA33" s="51" t="str">
        <f t="shared" ca="1" si="3"/>
        <v/>
      </c>
      <c r="AB33" s="51" t="str">
        <f t="shared" ca="1" si="4"/>
        <v>NON</v>
      </c>
      <c r="AC33" s="51" t="str">
        <f t="shared" si="5"/>
        <v/>
      </c>
      <c r="AD33" s="51" t="str">
        <f>IF(O33&lt;&gt;"",COUNTIFS($O$5:O33,O33),"")</f>
        <v/>
      </c>
      <c r="AE33" s="51" t="str">
        <f t="shared" si="6"/>
        <v/>
      </c>
      <c r="AF33" s="51" t="str">
        <f ca="1">IF(AB33="OUI",COUNTIFS($AB$5:AB33,"OUI"),"")</f>
        <v/>
      </c>
      <c r="AG33" s="51" t="str">
        <f t="shared" ca="1" si="7"/>
        <v/>
      </c>
      <c r="AH33" s="51" t="str">
        <f t="shared" si="8"/>
        <v>NON</v>
      </c>
    </row>
    <row r="34" spans="1:34" x14ac:dyDescent="0.25">
      <c r="A34" s="51" t="str">
        <f t="shared" si="0"/>
        <v>MVT-0030</v>
      </c>
      <c r="B34" s="36"/>
      <c r="C34" s="31"/>
      <c r="D34" s="51" t="str">
        <f>IFERROR(INDEX(#REF!,MATCH(C34,#REF!,0)),"")</f>
        <v/>
      </c>
      <c r="E34" s="51" t="str">
        <f>IFERROR(INDEX(#REF!,MATCH(C34,#REF!,0)),"")</f>
        <v/>
      </c>
      <c r="F34" s="51" t="str">
        <f>IFERROR(INDEX(#REF!,MATCH(C34,#REF!,0)),"")</f>
        <v/>
      </c>
      <c r="G34" s="51" t="str">
        <f>IFERROR(INDEX(#REF!,MATCH(C34,#REF!,0)),"")</f>
        <v/>
      </c>
      <c r="H34" s="51" t="str">
        <f>IFERROR(INDEX(#REF!,MATCH(C34,#REF!,0)),"")</f>
        <v/>
      </c>
      <c r="I34" s="51" t="str">
        <f>IFERROR(INDEX(#REF!,MATCH(C34,#REF!,0)),"")</f>
        <v/>
      </c>
      <c r="J34" s="51" t="str">
        <f>IFERROR(INDEX(#REF!,MATCH(C34,#REF!,0)),"")</f>
        <v/>
      </c>
      <c r="K34" s="51" t="str">
        <f>IFERROR(INDEX(#REF!,MATCH(C34,#REF!,0)),"")</f>
        <v/>
      </c>
      <c r="L34" s="31"/>
      <c r="M34" s="31"/>
      <c r="N34" s="31"/>
      <c r="O34" s="31"/>
      <c r="P34" s="51" t="str">
        <f>IFERROR(INDEX(#REF!,MATCH(O34,#REF!,0)),"")</f>
        <v/>
      </c>
      <c r="Q34" s="51" t="str">
        <f>IFERROR(INDEX(#REF!,MATCH(O34,#REF!,0)),"")</f>
        <v/>
      </c>
      <c r="R34" s="51">
        <f t="shared" si="1"/>
        <v>0</v>
      </c>
      <c r="S34" s="35"/>
      <c r="T34" s="31"/>
      <c r="U34" s="31"/>
      <c r="V34" s="36"/>
      <c r="W34" s="36"/>
      <c r="X34" s="51" t="str">
        <f t="shared" ca="1" si="2"/>
        <v/>
      </c>
      <c r="Y34" s="31"/>
      <c r="Z34" s="31"/>
      <c r="AA34" s="51" t="str">
        <f t="shared" ca="1" si="3"/>
        <v/>
      </c>
      <c r="AB34" s="51" t="str">
        <f t="shared" ca="1" si="4"/>
        <v>NON</v>
      </c>
      <c r="AC34" s="51" t="str">
        <f t="shared" si="5"/>
        <v/>
      </c>
      <c r="AD34" s="51" t="str">
        <f>IF(O34&lt;&gt;"",COUNTIFS($O$5:O34,O34),"")</f>
        <v/>
      </c>
      <c r="AE34" s="51" t="str">
        <f t="shared" si="6"/>
        <v/>
      </c>
      <c r="AF34" s="51" t="str">
        <f ca="1">IF(AB34="OUI",COUNTIFS($AB$5:AB34,"OUI"),"")</f>
        <v/>
      </c>
      <c r="AG34" s="51" t="str">
        <f t="shared" ca="1" si="7"/>
        <v/>
      </c>
      <c r="AH34" s="51" t="str">
        <f t="shared" si="8"/>
        <v>NON</v>
      </c>
    </row>
    <row r="35" spans="1:34" x14ac:dyDescent="0.25">
      <c r="A35" s="51" t="str">
        <f t="shared" si="0"/>
        <v>MVT-0031</v>
      </c>
      <c r="B35" s="30"/>
      <c r="C35" s="25"/>
      <c r="D35" s="51" t="str">
        <f>IFERROR(INDEX(#REF!,MATCH(C35,#REF!,0)),"")</f>
        <v/>
      </c>
      <c r="E35" s="51" t="str">
        <f>IFERROR(INDEX(#REF!,MATCH(C35,#REF!,0)),"")</f>
        <v/>
      </c>
      <c r="F35" s="51" t="str">
        <f>IFERROR(INDEX(#REF!,MATCH(C35,#REF!,0)),"")</f>
        <v/>
      </c>
      <c r="G35" s="51" t="str">
        <f>IFERROR(INDEX(#REF!,MATCH(C35,#REF!,0)),"")</f>
        <v/>
      </c>
      <c r="H35" s="51" t="str">
        <f>IFERROR(INDEX(#REF!,MATCH(C35,#REF!,0)),"")</f>
        <v/>
      </c>
      <c r="I35" s="51" t="str">
        <f>IFERROR(INDEX(#REF!,MATCH(C35,#REF!,0)),"")</f>
        <v/>
      </c>
      <c r="J35" s="51" t="str">
        <f>IFERROR(INDEX(#REF!,MATCH(C35,#REF!,0)),"")</f>
        <v/>
      </c>
      <c r="K35" s="51" t="str">
        <f>IFERROR(INDEX(#REF!,MATCH(C35,#REF!,0)),"")</f>
        <v/>
      </c>
      <c r="L35" s="25"/>
      <c r="M35" s="25"/>
      <c r="N35" s="25"/>
      <c r="O35" s="25"/>
      <c r="P35" s="51" t="str">
        <f>IFERROR(INDEX(#REF!,MATCH(O35,#REF!,0)),"")</f>
        <v/>
      </c>
      <c r="Q35" s="51" t="str">
        <f>IFERROR(INDEX(#REF!,MATCH(O35,#REF!,0)),"")</f>
        <v/>
      </c>
      <c r="R35" s="51">
        <f t="shared" si="1"/>
        <v>0</v>
      </c>
      <c r="S35" s="29"/>
      <c r="T35" s="25"/>
      <c r="U35" s="25"/>
      <c r="V35" s="30"/>
      <c r="W35" s="30"/>
      <c r="X35" s="51" t="str">
        <f t="shared" ca="1" si="2"/>
        <v/>
      </c>
      <c r="Y35" s="25"/>
      <c r="Z35" s="25"/>
      <c r="AA35" s="51" t="str">
        <f t="shared" ca="1" si="3"/>
        <v/>
      </c>
      <c r="AB35" s="51" t="str">
        <f t="shared" ca="1" si="4"/>
        <v>NON</v>
      </c>
      <c r="AC35" s="51" t="str">
        <f t="shared" si="5"/>
        <v/>
      </c>
      <c r="AD35" s="51" t="str">
        <f>IF(O35&lt;&gt;"",COUNTIFS($O$5:O35,O35),"")</f>
        <v/>
      </c>
      <c r="AE35" s="51" t="str">
        <f t="shared" si="6"/>
        <v/>
      </c>
      <c r="AF35" s="51" t="str">
        <f ca="1">IF(AB35="OUI",COUNTIFS($AB$5:AB35,"OUI"),"")</f>
        <v/>
      </c>
      <c r="AG35" s="51" t="str">
        <f t="shared" ca="1" si="7"/>
        <v/>
      </c>
      <c r="AH35" s="51" t="str">
        <f t="shared" si="8"/>
        <v>NON</v>
      </c>
    </row>
    <row r="36" spans="1:34" x14ac:dyDescent="0.25">
      <c r="A36" s="51" t="str">
        <f t="shared" si="0"/>
        <v>MVT-0032</v>
      </c>
      <c r="B36" s="36"/>
      <c r="C36" s="31"/>
      <c r="D36" s="51" t="str">
        <f>IFERROR(INDEX(#REF!,MATCH(C36,#REF!,0)),"")</f>
        <v/>
      </c>
      <c r="E36" s="51" t="str">
        <f>IFERROR(INDEX(#REF!,MATCH(C36,#REF!,0)),"")</f>
        <v/>
      </c>
      <c r="F36" s="51" t="str">
        <f>IFERROR(INDEX(#REF!,MATCH(C36,#REF!,0)),"")</f>
        <v/>
      </c>
      <c r="G36" s="51" t="str">
        <f>IFERROR(INDEX(#REF!,MATCH(C36,#REF!,0)),"")</f>
        <v/>
      </c>
      <c r="H36" s="51" t="str">
        <f>IFERROR(INDEX(#REF!,MATCH(C36,#REF!,0)),"")</f>
        <v/>
      </c>
      <c r="I36" s="51" t="str">
        <f>IFERROR(INDEX(#REF!,MATCH(C36,#REF!,0)),"")</f>
        <v/>
      </c>
      <c r="J36" s="51" t="str">
        <f>IFERROR(INDEX(#REF!,MATCH(C36,#REF!,0)),"")</f>
        <v/>
      </c>
      <c r="K36" s="51" t="str">
        <f>IFERROR(INDEX(#REF!,MATCH(C36,#REF!,0)),"")</f>
        <v/>
      </c>
      <c r="L36" s="31"/>
      <c r="M36" s="31"/>
      <c r="N36" s="31"/>
      <c r="O36" s="31"/>
      <c r="P36" s="51" t="str">
        <f>IFERROR(INDEX(#REF!,MATCH(O36,#REF!,0)),"")</f>
        <v/>
      </c>
      <c r="Q36" s="51" t="str">
        <f>IFERROR(INDEX(#REF!,MATCH(O36,#REF!,0)),"")</f>
        <v/>
      </c>
      <c r="R36" s="51">
        <f t="shared" si="1"/>
        <v>0</v>
      </c>
      <c r="S36" s="35"/>
      <c r="T36" s="31"/>
      <c r="U36" s="31"/>
      <c r="V36" s="36"/>
      <c r="W36" s="36"/>
      <c r="X36" s="51" t="str">
        <f t="shared" ca="1" si="2"/>
        <v/>
      </c>
      <c r="Y36" s="31"/>
      <c r="Z36" s="31"/>
      <c r="AA36" s="51" t="str">
        <f t="shared" ca="1" si="3"/>
        <v/>
      </c>
      <c r="AB36" s="51" t="str">
        <f t="shared" ca="1" si="4"/>
        <v>NON</v>
      </c>
      <c r="AC36" s="51" t="str">
        <f t="shared" si="5"/>
        <v/>
      </c>
      <c r="AD36" s="51" t="str">
        <f>IF(O36&lt;&gt;"",COUNTIFS($O$5:O36,O36),"")</f>
        <v/>
      </c>
      <c r="AE36" s="51" t="str">
        <f t="shared" si="6"/>
        <v/>
      </c>
      <c r="AF36" s="51" t="str">
        <f ca="1">IF(AB36="OUI",COUNTIFS($AB$5:AB36,"OUI"),"")</f>
        <v/>
      </c>
      <c r="AG36" s="51" t="str">
        <f t="shared" ca="1" si="7"/>
        <v/>
      </c>
      <c r="AH36" s="51" t="str">
        <f t="shared" si="8"/>
        <v>NON</v>
      </c>
    </row>
    <row r="37" spans="1:34" x14ac:dyDescent="0.25">
      <c r="A37" s="51" t="str">
        <f t="shared" ref="A37:A68" si="9">"MVT-"&amp;TEXT(ROW()-4,"0000")</f>
        <v>MVT-0033</v>
      </c>
      <c r="B37" s="30"/>
      <c r="C37" s="25"/>
      <c r="D37" s="51" t="str">
        <f>IFERROR(INDEX(#REF!,MATCH(C37,#REF!,0)),"")</f>
        <v/>
      </c>
      <c r="E37" s="51" t="str">
        <f>IFERROR(INDEX(#REF!,MATCH(C37,#REF!,0)),"")</f>
        <v/>
      </c>
      <c r="F37" s="51" t="str">
        <f>IFERROR(INDEX(#REF!,MATCH(C37,#REF!,0)),"")</f>
        <v/>
      </c>
      <c r="G37" s="51" t="str">
        <f>IFERROR(INDEX(#REF!,MATCH(C37,#REF!,0)),"")</f>
        <v/>
      </c>
      <c r="H37" s="51" t="str">
        <f>IFERROR(INDEX(#REF!,MATCH(C37,#REF!,0)),"")</f>
        <v/>
      </c>
      <c r="I37" s="51" t="str">
        <f>IFERROR(INDEX(#REF!,MATCH(C37,#REF!,0)),"")</f>
        <v/>
      </c>
      <c r="J37" s="51" t="str">
        <f>IFERROR(INDEX(#REF!,MATCH(C37,#REF!,0)),"")</f>
        <v/>
      </c>
      <c r="K37" s="51" t="str">
        <f>IFERROR(INDEX(#REF!,MATCH(C37,#REF!,0)),"")</f>
        <v/>
      </c>
      <c r="L37" s="25"/>
      <c r="M37" s="25"/>
      <c r="N37" s="25"/>
      <c r="O37" s="25"/>
      <c r="P37" s="51" t="str">
        <f>IFERROR(INDEX(#REF!,MATCH(O37,#REF!,0)),"")</f>
        <v/>
      </c>
      <c r="Q37" s="51" t="str">
        <f>IFERROR(INDEX(#REF!,MATCH(O37,#REF!,0)),"")</f>
        <v/>
      </c>
      <c r="R37" s="51">
        <f t="shared" ref="R37:R68" si="10">O37</f>
        <v>0</v>
      </c>
      <c r="S37" s="29"/>
      <c r="T37" s="25"/>
      <c r="U37" s="25"/>
      <c r="V37" s="30"/>
      <c r="W37" s="30"/>
      <c r="X37" s="51" t="str">
        <f t="shared" ref="X37:X68" ca="1" si="11">IF(W37&lt;&gt;"",W37-B37,IF(B37&lt;&gt;"",TODAY()-B37,""))</f>
        <v/>
      </c>
      <c r="Y37" s="25"/>
      <c r="Z37" s="25"/>
      <c r="AA37" s="51" t="str">
        <f t="shared" ref="AA37:AA68" ca="1" si="12">IF(O37="","",IF(W37&lt;&gt;"",IF(OR(U37="Perdu",U37="Vole",U37="Reforme",U37="En maintenance",U37="En reparation"),U37,"Disponible"),IF(AND(V37&lt;&gt;"",TODAY()&gt;V37),"En retard","Affecte")))</f>
        <v/>
      </c>
      <c r="AB37" s="51" t="str">
        <f t="shared" ref="AB37:AB68" ca="1" si="13">IF(AND(O37&lt;&gt;"",W37="",V37&lt;&gt;"",TODAY()&gt;V37),"OUI","NON")</f>
        <v>NON</v>
      </c>
      <c r="AC37" s="51" t="str">
        <f t="shared" ref="AC37:AC68" si="14">IF(O37&lt;&gt;"",O37&amp;"|"&amp;TEXT(B37,"YYYYMMDD"),"")</f>
        <v/>
      </c>
      <c r="AD37" s="51" t="str">
        <f>IF(O37&lt;&gt;"",COUNTIFS($O$5:O37,O37),"")</f>
        <v/>
      </c>
      <c r="AE37" s="51" t="str">
        <f t="shared" ref="AE37:AE68" si="15">IF(O37&lt;&gt;"",O37&amp;"|R"&amp;AD37,"")</f>
        <v/>
      </c>
      <c r="AF37" s="51" t="str">
        <f ca="1">IF(AB37="OUI",COUNTIFS($AB$5:AB37,"OUI"),"")</f>
        <v/>
      </c>
      <c r="AG37" s="51" t="str">
        <f t="shared" ref="AG37:AG68" ca="1" si="16">IF(AB37="OUI","RETARD|R"&amp;AF37,"")</f>
        <v/>
      </c>
      <c r="AH37" s="51" t="str">
        <f t="shared" ref="AH37:AH68" si="17">IF(AND(O37&lt;&gt;"",W37=""),IF(COUNTIFS($O$5:$O$84,O37,$W$5:$W$84,"")&gt;1,"OUI","NON"),"NON")</f>
        <v>NON</v>
      </c>
    </row>
    <row r="38" spans="1:34" x14ac:dyDescent="0.25">
      <c r="A38" s="51" t="str">
        <f t="shared" si="9"/>
        <v>MVT-0034</v>
      </c>
      <c r="B38" s="36"/>
      <c r="C38" s="31"/>
      <c r="D38" s="51" t="str">
        <f>IFERROR(INDEX(#REF!,MATCH(C38,#REF!,0)),"")</f>
        <v/>
      </c>
      <c r="E38" s="51" t="str">
        <f>IFERROR(INDEX(#REF!,MATCH(C38,#REF!,0)),"")</f>
        <v/>
      </c>
      <c r="F38" s="51" t="str">
        <f>IFERROR(INDEX(#REF!,MATCH(C38,#REF!,0)),"")</f>
        <v/>
      </c>
      <c r="G38" s="51" t="str">
        <f>IFERROR(INDEX(#REF!,MATCH(C38,#REF!,0)),"")</f>
        <v/>
      </c>
      <c r="H38" s="51" t="str">
        <f>IFERROR(INDEX(#REF!,MATCH(C38,#REF!,0)),"")</f>
        <v/>
      </c>
      <c r="I38" s="51" t="str">
        <f>IFERROR(INDEX(#REF!,MATCH(C38,#REF!,0)),"")</f>
        <v/>
      </c>
      <c r="J38" s="51" t="str">
        <f>IFERROR(INDEX(#REF!,MATCH(C38,#REF!,0)),"")</f>
        <v/>
      </c>
      <c r="K38" s="51" t="str">
        <f>IFERROR(INDEX(#REF!,MATCH(C38,#REF!,0)),"")</f>
        <v/>
      </c>
      <c r="L38" s="31"/>
      <c r="M38" s="31"/>
      <c r="N38" s="31"/>
      <c r="O38" s="31"/>
      <c r="P38" s="51" t="str">
        <f>IFERROR(INDEX(#REF!,MATCH(O38,#REF!,0)),"")</f>
        <v/>
      </c>
      <c r="Q38" s="51" t="str">
        <f>IFERROR(INDEX(#REF!,MATCH(O38,#REF!,0)),"")</f>
        <v/>
      </c>
      <c r="R38" s="51">
        <f t="shared" si="10"/>
        <v>0</v>
      </c>
      <c r="S38" s="35"/>
      <c r="T38" s="31"/>
      <c r="U38" s="31"/>
      <c r="V38" s="36"/>
      <c r="W38" s="36"/>
      <c r="X38" s="51" t="str">
        <f t="shared" ca="1" si="11"/>
        <v/>
      </c>
      <c r="Y38" s="31"/>
      <c r="Z38" s="31"/>
      <c r="AA38" s="51" t="str">
        <f t="shared" ca="1" si="12"/>
        <v/>
      </c>
      <c r="AB38" s="51" t="str">
        <f t="shared" ca="1" si="13"/>
        <v>NON</v>
      </c>
      <c r="AC38" s="51" t="str">
        <f t="shared" si="14"/>
        <v/>
      </c>
      <c r="AD38" s="51" t="str">
        <f>IF(O38&lt;&gt;"",COUNTIFS($O$5:O38,O38),"")</f>
        <v/>
      </c>
      <c r="AE38" s="51" t="str">
        <f t="shared" si="15"/>
        <v/>
      </c>
      <c r="AF38" s="51" t="str">
        <f ca="1">IF(AB38="OUI",COUNTIFS($AB$5:AB38,"OUI"),"")</f>
        <v/>
      </c>
      <c r="AG38" s="51" t="str">
        <f t="shared" ca="1" si="16"/>
        <v/>
      </c>
      <c r="AH38" s="51" t="str">
        <f t="shared" si="17"/>
        <v>NON</v>
      </c>
    </row>
    <row r="39" spans="1:34" x14ac:dyDescent="0.25">
      <c r="A39" s="51" t="str">
        <f t="shared" si="9"/>
        <v>MVT-0035</v>
      </c>
      <c r="B39" s="30"/>
      <c r="C39" s="25"/>
      <c r="D39" s="51" t="str">
        <f>IFERROR(INDEX(#REF!,MATCH(C39,#REF!,0)),"")</f>
        <v/>
      </c>
      <c r="E39" s="51" t="str">
        <f>IFERROR(INDEX(#REF!,MATCH(C39,#REF!,0)),"")</f>
        <v/>
      </c>
      <c r="F39" s="51" t="str">
        <f>IFERROR(INDEX(#REF!,MATCH(C39,#REF!,0)),"")</f>
        <v/>
      </c>
      <c r="G39" s="51" t="str">
        <f>IFERROR(INDEX(#REF!,MATCH(C39,#REF!,0)),"")</f>
        <v/>
      </c>
      <c r="H39" s="51" t="str">
        <f>IFERROR(INDEX(#REF!,MATCH(C39,#REF!,0)),"")</f>
        <v/>
      </c>
      <c r="I39" s="51" t="str">
        <f>IFERROR(INDEX(#REF!,MATCH(C39,#REF!,0)),"")</f>
        <v/>
      </c>
      <c r="J39" s="51" t="str">
        <f>IFERROR(INDEX(#REF!,MATCH(C39,#REF!,0)),"")</f>
        <v/>
      </c>
      <c r="K39" s="51" t="str">
        <f>IFERROR(INDEX(#REF!,MATCH(C39,#REF!,0)),"")</f>
        <v/>
      </c>
      <c r="L39" s="25"/>
      <c r="M39" s="25"/>
      <c r="N39" s="25"/>
      <c r="O39" s="25"/>
      <c r="P39" s="51" t="str">
        <f>IFERROR(INDEX(#REF!,MATCH(O39,#REF!,0)),"")</f>
        <v/>
      </c>
      <c r="Q39" s="51" t="str">
        <f>IFERROR(INDEX(#REF!,MATCH(O39,#REF!,0)),"")</f>
        <v/>
      </c>
      <c r="R39" s="51">
        <f t="shared" si="10"/>
        <v>0</v>
      </c>
      <c r="S39" s="29"/>
      <c r="T39" s="25"/>
      <c r="U39" s="25"/>
      <c r="V39" s="30"/>
      <c r="W39" s="30"/>
      <c r="X39" s="51" t="str">
        <f t="shared" ca="1" si="11"/>
        <v/>
      </c>
      <c r="Y39" s="25"/>
      <c r="Z39" s="25"/>
      <c r="AA39" s="51" t="str">
        <f t="shared" ca="1" si="12"/>
        <v/>
      </c>
      <c r="AB39" s="51" t="str">
        <f t="shared" ca="1" si="13"/>
        <v>NON</v>
      </c>
      <c r="AC39" s="51" t="str">
        <f t="shared" si="14"/>
        <v/>
      </c>
      <c r="AD39" s="51" t="str">
        <f>IF(O39&lt;&gt;"",COUNTIFS($O$5:O39,O39),"")</f>
        <v/>
      </c>
      <c r="AE39" s="51" t="str">
        <f t="shared" si="15"/>
        <v/>
      </c>
      <c r="AF39" s="51" t="str">
        <f ca="1">IF(AB39="OUI",COUNTIFS($AB$5:AB39,"OUI"),"")</f>
        <v/>
      </c>
      <c r="AG39" s="51" t="str">
        <f t="shared" ca="1" si="16"/>
        <v/>
      </c>
      <c r="AH39" s="51" t="str">
        <f t="shared" si="17"/>
        <v>NON</v>
      </c>
    </row>
    <row r="40" spans="1:34" x14ac:dyDescent="0.25">
      <c r="A40" s="51" t="str">
        <f t="shared" si="9"/>
        <v>MVT-0036</v>
      </c>
      <c r="B40" s="36"/>
      <c r="C40" s="31"/>
      <c r="D40" s="51" t="str">
        <f>IFERROR(INDEX(#REF!,MATCH(C40,#REF!,0)),"")</f>
        <v/>
      </c>
      <c r="E40" s="51" t="str">
        <f>IFERROR(INDEX(#REF!,MATCH(C40,#REF!,0)),"")</f>
        <v/>
      </c>
      <c r="F40" s="51" t="str">
        <f>IFERROR(INDEX(#REF!,MATCH(C40,#REF!,0)),"")</f>
        <v/>
      </c>
      <c r="G40" s="51" t="str">
        <f>IFERROR(INDEX(#REF!,MATCH(C40,#REF!,0)),"")</f>
        <v/>
      </c>
      <c r="H40" s="51" t="str">
        <f>IFERROR(INDEX(#REF!,MATCH(C40,#REF!,0)),"")</f>
        <v/>
      </c>
      <c r="I40" s="51" t="str">
        <f>IFERROR(INDEX(#REF!,MATCH(C40,#REF!,0)),"")</f>
        <v/>
      </c>
      <c r="J40" s="51" t="str">
        <f>IFERROR(INDEX(#REF!,MATCH(C40,#REF!,0)),"")</f>
        <v/>
      </c>
      <c r="K40" s="51" t="str">
        <f>IFERROR(INDEX(#REF!,MATCH(C40,#REF!,0)),"")</f>
        <v/>
      </c>
      <c r="L40" s="31"/>
      <c r="M40" s="31"/>
      <c r="N40" s="31"/>
      <c r="O40" s="31"/>
      <c r="P40" s="51" t="str">
        <f>IFERROR(INDEX(#REF!,MATCH(O40,#REF!,0)),"")</f>
        <v/>
      </c>
      <c r="Q40" s="51" t="str">
        <f>IFERROR(INDEX(#REF!,MATCH(O40,#REF!,0)),"")</f>
        <v/>
      </c>
      <c r="R40" s="51">
        <f t="shared" si="10"/>
        <v>0</v>
      </c>
      <c r="S40" s="35"/>
      <c r="T40" s="31"/>
      <c r="U40" s="31"/>
      <c r="V40" s="36"/>
      <c r="W40" s="36"/>
      <c r="X40" s="51" t="str">
        <f t="shared" ca="1" si="11"/>
        <v/>
      </c>
      <c r="Y40" s="31"/>
      <c r="Z40" s="31"/>
      <c r="AA40" s="51" t="str">
        <f t="shared" ca="1" si="12"/>
        <v/>
      </c>
      <c r="AB40" s="51" t="str">
        <f t="shared" ca="1" si="13"/>
        <v>NON</v>
      </c>
      <c r="AC40" s="51" t="str">
        <f t="shared" si="14"/>
        <v/>
      </c>
      <c r="AD40" s="51" t="str">
        <f>IF(O40&lt;&gt;"",COUNTIFS($O$5:O40,O40),"")</f>
        <v/>
      </c>
      <c r="AE40" s="51" t="str">
        <f t="shared" si="15"/>
        <v/>
      </c>
      <c r="AF40" s="51" t="str">
        <f ca="1">IF(AB40="OUI",COUNTIFS($AB$5:AB40,"OUI"),"")</f>
        <v/>
      </c>
      <c r="AG40" s="51" t="str">
        <f t="shared" ca="1" si="16"/>
        <v/>
      </c>
      <c r="AH40" s="51" t="str">
        <f t="shared" si="17"/>
        <v>NON</v>
      </c>
    </row>
    <row r="41" spans="1:34" x14ac:dyDescent="0.25">
      <c r="A41" s="51" t="str">
        <f t="shared" si="9"/>
        <v>MVT-0037</v>
      </c>
      <c r="B41" s="30"/>
      <c r="C41" s="25"/>
      <c r="D41" s="51" t="str">
        <f>IFERROR(INDEX(#REF!,MATCH(C41,#REF!,0)),"")</f>
        <v/>
      </c>
      <c r="E41" s="51" t="str">
        <f>IFERROR(INDEX(#REF!,MATCH(C41,#REF!,0)),"")</f>
        <v/>
      </c>
      <c r="F41" s="51" t="str">
        <f>IFERROR(INDEX(#REF!,MATCH(C41,#REF!,0)),"")</f>
        <v/>
      </c>
      <c r="G41" s="51" t="str">
        <f>IFERROR(INDEX(#REF!,MATCH(C41,#REF!,0)),"")</f>
        <v/>
      </c>
      <c r="H41" s="51" t="str">
        <f>IFERROR(INDEX(#REF!,MATCH(C41,#REF!,0)),"")</f>
        <v/>
      </c>
      <c r="I41" s="51" t="str">
        <f>IFERROR(INDEX(#REF!,MATCH(C41,#REF!,0)),"")</f>
        <v/>
      </c>
      <c r="J41" s="51" t="str">
        <f>IFERROR(INDEX(#REF!,MATCH(C41,#REF!,0)),"")</f>
        <v/>
      </c>
      <c r="K41" s="51" t="str">
        <f>IFERROR(INDEX(#REF!,MATCH(C41,#REF!,0)),"")</f>
        <v/>
      </c>
      <c r="L41" s="25"/>
      <c r="M41" s="25"/>
      <c r="N41" s="25"/>
      <c r="O41" s="25"/>
      <c r="P41" s="51" t="str">
        <f>IFERROR(INDEX(#REF!,MATCH(O41,#REF!,0)),"")</f>
        <v/>
      </c>
      <c r="Q41" s="51" t="str">
        <f>IFERROR(INDEX(#REF!,MATCH(O41,#REF!,0)),"")</f>
        <v/>
      </c>
      <c r="R41" s="51">
        <f t="shared" si="10"/>
        <v>0</v>
      </c>
      <c r="S41" s="29"/>
      <c r="T41" s="25"/>
      <c r="U41" s="25"/>
      <c r="V41" s="30"/>
      <c r="W41" s="30"/>
      <c r="X41" s="51" t="str">
        <f t="shared" ca="1" si="11"/>
        <v/>
      </c>
      <c r="Y41" s="25"/>
      <c r="Z41" s="25"/>
      <c r="AA41" s="51" t="str">
        <f t="shared" ca="1" si="12"/>
        <v/>
      </c>
      <c r="AB41" s="51" t="str">
        <f t="shared" ca="1" si="13"/>
        <v>NON</v>
      </c>
      <c r="AC41" s="51" t="str">
        <f t="shared" si="14"/>
        <v/>
      </c>
      <c r="AD41" s="51" t="str">
        <f>IF(O41&lt;&gt;"",COUNTIFS($O$5:O41,O41),"")</f>
        <v/>
      </c>
      <c r="AE41" s="51" t="str">
        <f t="shared" si="15"/>
        <v/>
      </c>
      <c r="AF41" s="51" t="str">
        <f ca="1">IF(AB41="OUI",COUNTIFS($AB$5:AB41,"OUI"),"")</f>
        <v/>
      </c>
      <c r="AG41" s="51" t="str">
        <f t="shared" ca="1" si="16"/>
        <v/>
      </c>
      <c r="AH41" s="51" t="str">
        <f t="shared" si="17"/>
        <v>NON</v>
      </c>
    </row>
    <row r="42" spans="1:34" x14ac:dyDescent="0.25">
      <c r="A42" s="51" t="str">
        <f t="shared" si="9"/>
        <v>MVT-0038</v>
      </c>
      <c r="B42" s="36"/>
      <c r="C42" s="31"/>
      <c r="D42" s="51" t="str">
        <f>IFERROR(INDEX(#REF!,MATCH(C42,#REF!,0)),"")</f>
        <v/>
      </c>
      <c r="E42" s="51" t="str">
        <f>IFERROR(INDEX(#REF!,MATCH(C42,#REF!,0)),"")</f>
        <v/>
      </c>
      <c r="F42" s="51" t="str">
        <f>IFERROR(INDEX(#REF!,MATCH(C42,#REF!,0)),"")</f>
        <v/>
      </c>
      <c r="G42" s="51" t="str">
        <f>IFERROR(INDEX(#REF!,MATCH(C42,#REF!,0)),"")</f>
        <v/>
      </c>
      <c r="H42" s="51" t="str">
        <f>IFERROR(INDEX(#REF!,MATCH(C42,#REF!,0)),"")</f>
        <v/>
      </c>
      <c r="I42" s="51" t="str">
        <f>IFERROR(INDEX(#REF!,MATCH(C42,#REF!,0)),"")</f>
        <v/>
      </c>
      <c r="J42" s="51" t="str">
        <f>IFERROR(INDEX(#REF!,MATCH(C42,#REF!,0)),"")</f>
        <v/>
      </c>
      <c r="K42" s="51" t="str">
        <f>IFERROR(INDEX(#REF!,MATCH(C42,#REF!,0)),"")</f>
        <v/>
      </c>
      <c r="L42" s="31"/>
      <c r="M42" s="31"/>
      <c r="N42" s="31"/>
      <c r="O42" s="31"/>
      <c r="P42" s="51" t="str">
        <f>IFERROR(INDEX(#REF!,MATCH(O42,#REF!,0)),"")</f>
        <v/>
      </c>
      <c r="Q42" s="51" t="str">
        <f>IFERROR(INDEX(#REF!,MATCH(O42,#REF!,0)),"")</f>
        <v/>
      </c>
      <c r="R42" s="51">
        <f t="shared" si="10"/>
        <v>0</v>
      </c>
      <c r="S42" s="35"/>
      <c r="T42" s="31"/>
      <c r="U42" s="31"/>
      <c r="V42" s="36"/>
      <c r="W42" s="36"/>
      <c r="X42" s="51" t="str">
        <f t="shared" ca="1" si="11"/>
        <v/>
      </c>
      <c r="Y42" s="31"/>
      <c r="Z42" s="31"/>
      <c r="AA42" s="51" t="str">
        <f t="shared" ca="1" si="12"/>
        <v/>
      </c>
      <c r="AB42" s="51" t="str">
        <f t="shared" ca="1" si="13"/>
        <v>NON</v>
      </c>
      <c r="AC42" s="51" t="str">
        <f t="shared" si="14"/>
        <v/>
      </c>
      <c r="AD42" s="51" t="str">
        <f>IF(O42&lt;&gt;"",COUNTIFS($O$5:O42,O42),"")</f>
        <v/>
      </c>
      <c r="AE42" s="51" t="str">
        <f t="shared" si="15"/>
        <v/>
      </c>
      <c r="AF42" s="51" t="str">
        <f ca="1">IF(AB42="OUI",COUNTIFS($AB$5:AB42,"OUI"),"")</f>
        <v/>
      </c>
      <c r="AG42" s="51" t="str">
        <f t="shared" ca="1" si="16"/>
        <v/>
      </c>
      <c r="AH42" s="51" t="str">
        <f t="shared" si="17"/>
        <v>NON</v>
      </c>
    </row>
    <row r="43" spans="1:34" x14ac:dyDescent="0.25">
      <c r="A43" s="51" t="str">
        <f t="shared" si="9"/>
        <v>MVT-0039</v>
      </c>
      <c r="B43" s="30"/>
      <c r="C43" s="25"/>
      <c r="D43" s="51" t="str">
        <f>IFERROR(INDEX(#REF!,MATCH(C43,#REF!,0)),"")</f>
        <v/>
      </c>
      <c r="E43" s="51" t="str">
        <f>IFERROR(INDEX(#REF!,MATCH(C43,#REF!,0)),"")</f>
        <v/>
      </c>
      <c r="F43" s="51" t="str">
        <f>IFERROR(INDEX(#REF!,MATCH(C43,#REF!,0)),"")</f>
        <v/>
      </c>
      <c r="G43" s="51" t="str">
        <f>IFERROR(INDEX(#REF!,MATCH(C43,#REF!,0)),"")</f>
        <v/>
      </c>
      <c r="H43" s="51" t="str">
        <f>IFERROR(INDEX(#REF!,MATCH(C43,#REF!,0)),"")</f>
        <v/>
      </c>
      <c r="I43" s="51" t="str">
        <f>IFERROR(INDEX(#REF!,MATCH(C43,#REF!,0)),"")</f>
        <v/>
      </c>
      <c r="J43" s="51" t="str">
        <f>IFERROR(INDEX(#REF!,MATCH(C43,#REF!,0)),"")</f>
        <v/>
      </c>
      <c r="K43" s="51" t="str">
        <f>IFERROR(INDEX(#REF!,MATCH(C43,#REF!,0)),"")</f>
        <v/>
      </c>
      <c r="L43" s="25"/>
      <c r="M43" s="25"/>
      <c r="N43" s="25"/>
      <c r="O43" s="25"/>
      <c r="P43" s="51" t="str">
        <f>IFERROR(INDEX(#REF!,MATCH(O43,#REF!,0)),"")</f>
        <v/>
      </c>
      <c r="Q43" s="51" t="str">
        <f>IFERROR(INDEX(#REF!,MATCH(O43,#REF!,0)),"")</f>
        <v/>
      </c>
      <c r="R43" s="51">
        <f t="shared" si="10"/>
        <v>0</v>
      </c>
      <c r="S43" s="29"/>
      <c r="T43" s="25"/>
      <c r="U43" s="25"/>
      <c r="V43" s="30"/>
      <c r="W43" s="30"/>
      <c r="X43" s="51" t="str">
        <f t="shared" ca="1" si="11"/>
        <v/>
      </c>
      <c r="Y43" s="25"/>
      <c r="Z43" s="25"/>
      <c r="AA43" s="51" t="str">
        <f t="shared" ca="1" si="12"/>
        <v/>
      </c>
      <c r="AB43" s="51" t="str">
        <f t="shared" ca="1" si="13"/>
        <v>NON</v>
      </c>
      <c r="AC43" s="51" t="str">
        <f t="shared" si="14"/>
        <v/>
      </c>
      <c r="AD43" s="51" t="str">
        <f>IF(O43&lt;&gt;"",COUNTIFS($O$5:O43,O43),"")</f>
        <v/>
      </c>
      <c r="AE43" s="51" t="str">
        <f t="shared" si="15"/>
        <v/>
      </c>
      <c r="AF43" s="51" t="str">
        <f ca="1">IF(AB43="OUI",COUNTIFS($AB$5:AB43,"OUI"),"")</f>
        <v/>
      </c>
      <c r="AG43" s="51" t="str">
        <f t="shared" ca="1" si="16"/>
        <v/>
      </c>
      <c r="AH43" s="51" t="str">
        <f t="shared" si="17"/>
        <v>NON</v>
      </c>
    </row>
    <row r="44" spans="1:34" x14ac:dyDescent="0.25">
      <c r="A44" s="51" t="str">
        <f t="shared" si="9"/>
        <v>MVT-0040</v>
      </c>
      <c r="B44" s="36"/>
      <c r="C44" s="31"/>
      <c r="D44" s="51" t="str">
        <f>IFERROR(INDEX(#REF!,MATCH(C44,#REF!,0)),"")</f>
        <v/>
      </c>
      <c r="E44" s="51" t="str">
        <f>IFERROR(INDEX(#REF!,MATCH(C44,#REF!,0)),"")</f>
        <v/>
      </c>
      <c r="F44" s="51" t="str">
        <f>IFERROR(INDEX(#REF!,MATCH(C44,#REF!,0)),"")</f>
        <v/>
      </c>
      <c r="G44" s="51" t="str">
        <f>IFERROR(INDEX(#REF!,MATCH(C44,#REF!,0)),"")</f>
        <v/>
      </c>
      <c r="H44" s="51" t="str">
        <f>IFERROR(INDEX(#REF!,MATCH(C44,#REF!,0)),"")</f>
        <v/>
      </c>
      <c r="I44" s="51" t="str">
        <f>IFERROR(INDEX(#REF!,MATCH(C44,#REF!,0)),"")</f>
        <v/>
      </c>
      <c r="J44" s="51" t="str">
        <f>IFERROR(INDEX(#REF!,MATCH(C44,#REF!,0)),"")</f>
        <v/>
      </c>
      <c r="K44" s="51" t="str">
        <f>IFERROR(INDEX(#REF!,MATCH(C44,#REF!,0)),"")</f>
        <v/>
      </c>
      <c r="L44" s="31"/>
      <c r="M44" s="31"/>
      <c r="N44" s="31"/>
      <c r="O44" s="31"/>
      <c r="P44" s="51" t="str">
        <f>IFERROR(INDEX(#REF!,MATCH(O44,#REF!,0)),"")</f>
        <v/>
      </c>
      <c r="Q44" s="51" t="str">
        <f>IFERROR(INDEX(#REF!,MATCH(O44,#REF!,0)),"")</f>
        <v/>
      </c>
      <c r="R44" s="51">
        <f t="shared" si="10"/>
        <v>0</v>
      </c>
      <c r="S44" s="35"/>
      <c r="T44" s="31"/>
      <c r="U44" s="31"/>
      <c r="V44" s="36"/>
      <c r="W44" s="36"/>
      <c r="X44" s="51" t="str">
        <f t="shared" ca="1" si="11"/>
        <v/>
      </c>
      <c r="Y44" s="31"/>
      <c r="Z44" s="31"/>
      <c r="AA44" s="51" t="str">
        <f t="shared" ca="1" si="12"/>
        <v/>
      </c>
      <c r="AB44" s="51" t="str">
        <f t="shared" ca="1" si="13"/>
        <v>NON</v>
      </c>
      <c r="AC44" s="51" t="str">
        <f t="shared" si="14"/>
        <v/>
      </c>
      <c r="AD44" s="51" t="str">
        <f>IF(O44&lt;&gt;"",COUNTIFS($O$5:O44,O44),"")</f>
        <v/>
      </c>
      <c r="AE44" s="51" t="str">
        <f t="shared" si="15"/>
        <v/>
      </c>
      <c r="AF44" s="51" t="str">
        <f ca="1">IF(AB44="OUI",COUNTIFS($AB$5:AB44,"OUI"),"")</f>
        <v/>
      </c>
      <c r="AG44" s="51" t="str">
        <f t="shared" ca="1" si="16"/>
        <v/>
      </c>
      <c r="AH44" s="51" t="str">
        <f t="shared" si="17"/>
        <v>NON</v>
      </c>
    </row>
    <row r="45" spans="1:34" x14ac:dyDescent="0.25">
      <c r="A45" s="51" t="str">
        <f t="shared" si="9"/>
        <v>MVT-0041</v>
      </c>
      <c r="B45" s="30"/>
      <c r="C45" s="25"/>
      <c r="D45" s="51" t="str">
        <f>IFERROR(INDEX(#REF!,MATCH(C45,#REF!,0)),"")</f>
        <v/>
      </c>
      <c r="E45" s="51" t="str">
        <f>IFERROR(INDEX(#REF!,MATCH(C45,#REF!,0)),"")</f>
        <v/>
      </c>
      <c r="F45" s="51" t="str">
        <f>IFERROR(INDEX(#REF!,MATCH(C45,#REF!,0)),"")</f>
        <v/>
      </c>
      <c r="G45" s="51" t="str">
        <f>IFERROR(INDEX(#REF!,MATCH(C45,#REF!,0)),"")</f>
        <v/>
      </c>
      <c r="H45" s="51" t="str">
        <f>IFERROR(INDEX(#REF!,MATCH(C45,#REF!,0)),"")</f>
        <v/>
      </c>
      <c r="I45" s="51" t="str">
        <f>IFERROR(INDEX(#REF!,MATCH(C45,#REF!,0)),"")</f>
        <v/>
      </c>
      <c r="J45" s="51" t="str">
        <f>IFERROR(INDEX(#REF!,MATCH(C45,#REF!,0)),"")</f>
        <v/>
      </c>
      <c r="K45" s="51" t="str">
        <f>IFERROR(INDEX(#REF!,MATCH(C45,#REF!,0)),"")</f>
        <v/>
      </c>
      <c r="L45" s="25"/>
      <c r="M45" s="25"/>
      <c r="N45" s="25"/>
      <c r="O45" s="25"/>
      <c r="P45" s="51" t="str">
        <f>IFERROR(INDEX(#REF!,MATCH(O45,#REF!,0)),"")</f>
        <v/>
      </c>
      <c r="Q45" s="51" t="str">
        <f>IFERROR(INDEX(#REF!,MATCH(O45,#REF!,0)),"")</f>
        <v/>
      </c>
      <c r="R45" s="51">
        <f t="shared" si="10"/>
        <v>0</v>
      </c>
      <c r="S45" s="29"/>
      <c r="T45" s="25"/>
      <c r="U45" s="25"/>
      <c r="V45" s="30"/>
      <c r="W45" s="30"/>
      <c r="X45" s="51" t="str">
        <f t="shared" ca="1" si="11"/>
        <v/>
      </c>
      <c r="Y45" s="25"/>
      <c r="Z45" s="25"/>
      <c r="AA45" s="51" t="str">
        <f t="shared" ca="1" si="12"/>
        <v/>
      </c>
      <c r="AB45" s="51" t="str">
        <f t="shared" ca="1" si="13"/>
        <v>NON</v>
      </c>
      <c r="AC45" s="51" t="str">
        <f t="shared" si="14"/>
        <v/>
      </c>
      <c r="AD45" s="51" t="str">
        <f>IF(O45&lt;&gt;"",COUNTIFS($O$5:O45,O45),"")</f>
        <v/>
      </c>
      <c r="AE45" s="51" t="str">
        <f t="shared" si="15"/>
        <v/>
      </c>
      <c r="AF45" s="51" t="str">
        <f ca="1">IF(AB45="OUI",COUNTIFS($AB$5:AB45,"OUI"),"")</f>
        <v/>
      </c>
      <c r="AG45" s="51" t="str">
        <f t="shared" ca="1" si="16"/>
        <v/>
      </c>
      <c r="AH45" s="51" t="str">
        <f t="shared" si="17"/>
        <v>NON</v>
      </c>
    </row>
    <row r="46" spans="1:34" x14ac:dyDescent="0.25">
      <c r="A46" s="51" t="str">
        <f t="shared" si="9"/>
        <v>MVT-0042</v>
      </c>
      <c r="B46" s="36"/>
      <c r="C46" s="31"/>
      <c r="D46" s="51" t="str">
        <f>IFERROR(INDEX(#REF!,MATCH(C46,#REF!,0)),"")</f>
        <v/>
      </c>
      <c r="E46" s="51" t="str">
        <f>IFERROR(INDEX(#REF!,MATCH(C46,#REF!,0)),"")</f>
        <v/>
      </c>
      <c r="F46" s="51" t="str">
        <f>IFERROR(INDEX(#REF!,MATCH(C46,#REF!,0)),"")</f>
        <v/>
      </c>
      <c r="G46" s="51" t="str">
        <f>IFERROR(INDEX(#REF!,MATCH(C46,#REF!,0)),"")</f>
        <v/>
      </c>
      <c r="H46" s="51" t="str">
        <f>IFERROR(INDEX(#REF!,MATCH(C46,#REF!,0)),"")</f>
        <v/>
      </c>
      <c r="I46" s="51" t="str">
        <f>IFERROR(INDEX(#REF!,MATCH(C46,#REF!,0)),"")</f>
        <v/>
      </c>
      <c r="J46" s="51" t="str">
        <f>IFERROR(INDEX(#REF!,MATCH(C46,#REF!,0)),"")</f>
        <v/>
      </c>
      <c r="K46" s="51" t="str">
        <f>IFERROR(INDEX(#REF!,MATCH(C46,#REF!,0)),"")</f>
        <v/>
      </c>
      <c r="L46" s="31"/>
      <c r="M46" s="31"/>
      <c r="N46" s="31"/>
      <c r="O46" s="31"/>
      <c r="P46" s="51" t="str">
        <f>IFERROR(INDEX(#REF!,MATCH(O46,#REF!,0)),"")</f>
        <v/>
      </c>
      <c r="Q46" s="51" t="str">
        <f>IFERROR(INDEX(#REF!,MATCH(O46,#REF!,0)),"")</f>
        <v/>
      </c>
      <c r="R46" s="51">
        <f t="shared" si="10"/>
        <v>0</v>
      </c>
      <c r="S46" s="35"/>
      <c r="T46" s="31"/>
      <c r="U46" s="31"/>
      <c r="V46" s="36"/>
      <c r="W46" s="36"/>
      <c r="X46" s="51" t="str">
        <f t="shared" ca="1" si="11"/>
        <v/>
      </c>
      <c r="Y46" s="31"/>
      <c r="Z46" s="31"/>
      <c r="AA46" s="51" t="str">
        <f t="shared" ca="1" si="12"/>
        <v/>
      </c>
      <c r="AB46" s="51" t="str">
        <f t="shared" ca="1" si="13"/>
        <v>NON</v>
      </c>
      <c r="AC46" s="51" t="str">
        <f t="shared" si="14"/>
        <v/>
      </c>
      <c r="AD46" s="51" t="str">
        <f>IF(O46&lt;&gt;"",COUNTIFS($O$5:O46,O46),"")</f>
        <v/>
      </c>
      <c r="AE46" s="51" t="str">
        <f t="shared" si="15"/>
        <v/>
      </c>
      <c r="AF46" s="51" t="str">
        <f ca="1">IF(AB46="OUI",COUNTIFS($AB$5:AB46,"OUI"),"")</f>
        <v/>
      </c>
      <c r="AG46" s="51" t="str">
        <f t="shared" ca="1" si="16"/>
        <v/>
      </c>
      <c r="AH46" s="51" t="str">
        <f t="shared" si="17"/>
        <v>NON</v>
      </c>
    </row>
    <row r="47" spans="1:34" x14ac:dyDescent="0.25">
      <c r="A47" s="51" t="str">
        <f t="shared" si="9"/>
        <v>MVT-0043</v>
      </c>
      <c r="B47" s="30"/>
      <c r="C47" s="25"/>
      <c r="D47" s="51" t="str">
        <f>IFERROR(INDEX(#REF!,MATCH(C47,#REF!,0)),"")</f>
        <v/>
      </c>
      <c r="E47" s="51" t="str">
        <f>IFERROR(INDEX(#REF!,MATCH(C47,#REF!,0)),"")</f>
        <v/>
      </c>
      <c r="F47" s="51" t="str">
        <f>IFERROR(INDEX(#REF!,MATCH(C47,#REF!,0)),"")</f>
        <v/>
      </c>
      <c r="G47" s="51" t="str">
        <f>IFERROR(INDEX(#REF!,MATCH(C47,#REF!,0)),"")</f>
        <v/>
      </c>
      <c r="H47" s="51" t="str">
        <f>IFERROR(INDEX(#REF!,MATCH(C47,#REF!,0)),"")</f>
        <v/>
      </c>
      <c r="I47" s="51" t="str">
        <f>IFERROR(INDEX(#REF!,MATCH(C47,#REF!,0)),"")</f>
        <v/>
      </c>
      <c r="J47" s="51" t="str">
        <f>IFERROR(INDEX(#REF!,MATCH(C47,#REF!,0)),"")</f>
        <v/>
      </c>
      <c r="K47" s="51" t="str">
        <f>IFERROR(INDEX(#REF!,MATCH(C47,#REF!,0)),"")</f>
        <v/>
      </c>
      <c r="L47" s="25"/>
      <c r="M47" s="25"/>
      <c r="N47" s="25"/>
      <c r="O47" s="25"/>
      <c r="P47" s="51" t="str">
        <f>IFERROR(INDEX(#REF!,MATCH(O47,#REF!,0)),"")</f>
        <v/>
      </c>
      <c r="Q47" s="51" t="str">
        <f>IFERROR(INDEX(#REF!,MATCH(O47,#REF!,0)),"")</f>
        <v/>
      </c>
      <c r="R47" s="51">
        <f t="shared" si="10"/>
        <v>0</v>
      </c>
      <c r="S47" s="29"/>
      <c r="T47" s="25"/>
      <c r="U47" s="25"/>
      <c r="V47" s="30"/>
      <c r="W47" s="30"/>
      <c r="X47" s="51" t="str">
        <f t="shared" ca="1" si="11"/>
        <v/>
      </c>
      <c r="Y47" s="25"/>
      <c r="Z47" s="25"/>
      <c r="AA47" s="51" t="str">
        <f t="shared" ca="1" si="12"/>
        <v/>
      </c>
      <c r="AB47" s="51" t="str">
        <f t="shared" ca="1" si="13"/>
        <v>NON</v>
      </c>
      <c r="AC47" s="51" t="str">
        <f t="shared" si="14"/>
        <v/>
      </c>
      <c r="AD47" s="51" t="str">
        <f>IF(O47&lt;&gt;"",COUNTIFS($O$5:O47,O47),"")</f>
        <v/>
      </c>
      <c r="AE47" s="51" t="str">
        <f t="shared" si="15"/>
        <v/>
      </c>
      <c r="AF47" s="51" t="str">
        <f ca="1">IF(AB47="OUI",COUNTIFS($AB$5:AB47,"OUI"),"")</f>
        <v/>
      </c>
      <c r="AG47" s="51" t="str">
        <f t="shared" ca="1" si="16"/>
        <v/>
      </c>
      <c r="AH47" s="51" t="str">
        <f t="shared" si="17"/>
        <v>NON</v>
      </c>
    </row>
    <row r="48" spans="1:34" x14ac:dyDescent="0.25">
      <c r="A48" s="51" t="str">
        <f t="shared" si="9"/>
        <v>MVT-0044</v>
      </c>
      <c r="B48" s="36"/>
      <c r="C48" s="31"/>
      <c r="D48" s="51" t="str">
        <f>IFERROR(INDEX(#REF!,MATCH(C48,#REF!,0)),"")</f>
        <v/>
      </c>
      <c r="E48" s="51" t="str">
        <f>IFERROR(INDEX(#REF!,MATCH(C48,#REF!,0)),"")</f>
        <v/>
      </c>
      <c r="F48" s="51" t="str">
        <f>IFERROR(INDEX(#REF!,MATCH(C48,#REF!,0)),"")</f>
        <v/>
      </c>
      <c r="G48" s="51" t="str">
        <f>IFERROR(INDEX(#REF!,MATCH(C48,#REF!,0)),"")</f>
        <v/>
      </c>
      <c r="H48" s="51" t="str">
        <f>IFERROR(INDEX(#REF!,MATCH(C48,#REF!,0)),"")</f>
        <v/>
      </c>
      <c r="I48" s="51" t="str">
        <f>IFERROR(INDEX(#REF!,MATCH(C48,#REF!,0)),"")</f>
        <v/>
      </c>
      <c r="J48" s="51" t="str">
        <f>IFERROR(INDEX(#REF!,MATCH(C48,#REF!,0)),"")</f>
        <v/>
      </c>
      <c r="K48" s="51" t="str">
        <f>IFERROR(INDEX(#REF!,MATCH(C48,#REF!,0)),"")</f>
        <v/>
      </c>
      <c r="L48" s="31"/>
      <c r="M48" s="31"/>
      <c r="N48" s="31"/>
      <c r="O48" s="31"/>
      <c r="P48" s="51" t="str">
        <f>IFERROR(INDEX(#REF!,MATCH(O48,#REF!,0)),"")</f>
        <v/>
      </c>
      <c r="Q48" s="51" t="str">
        <f>IFERROR(INDEX(#REF!,MATCH(O48,#REF!,0)),"")</f>
        <v/>
      </c>
      <c r="R48" s="51">
        <f t="shared" si="10"/>
        <v>0</v>
      </c>
      <c r="S48" s="35"/>
      <c r="T48" s="31"/>
      <c r="U48" s="31"/>
      <c r="V48" s="36"/>
      <c r="W48" s="36"/>
      <c r="X48" s="51" t="str">
        <f t="shared" ca="1" si="11"/>
        <v/>
      </c>
      <c r="Y48" s="31"/>
      <c r="Z48" s="31"/>
      <c r="AA48" s="51" t="str">
        <f t="shared" ca="1" si="12"/>
        <v/>
      </c>
      <c r="AB48" s="51" t="str">
        <f t="shared" ca="1" si="13"/>
        <v>NON</v>
      </c>
      <c r="AC48" s="51" t="str">
        <f t="shared" si="14"/>
        <v/>
      </c>
      <c r="AD48" s="51" t="str">
        <f>IF(O48&lt;&gt;"",COUNTIFS($O$5:O48,O48),"")</f>
        <v/>
      </c>
      <c r="AE48" s="51" t="str">
        <f t="shared" si="15"/>
        <v/>
      </c>
      <c r="AF48" s="51" t="str">
        <f ca="1">IF(AB48="OUI",COUNTIFS($AB$5:AB48,"OUI"),"")</f>
        <v/>
      </c>
      <c r="AG48" s="51" t="str">
        <f t="shared" ca="1" si="16"/>
        <v/>
      </c>
      <c r="AH48" s="51" t="str">
        <f t="shared" si="17"/>
        <v>NON</v>
      </c>
    </row>
    <row r="49" spans="1:34" x14ac:dyDescent="0.25">
      <c r="A49" s="51" t="str">
        <f t="shared" si="9"/>
        <v>MVT-0045</v>
      </c>
      <c r="B49" s="30"/>
      <c r="C49" s="25"/>
      <c r="D49" s="51" t="str">
        <f>IFERROR(INDEX(#REF!,MATCH(C49,#REF!,0)),"")</f>
        <v/>
      </c>
      <c r="E49" s="51" t="str">
        <f>IFERROR(INDEX(#REF!,MATCH(C49,#REF!,0)),"")</f>
        <v/>
      </c>
      <c r="F49" s="51" t="str">
        <f>IFERROR(INDEX(#REF!,MATCH(C49,#REF!,0)),"")</f>
        <v/>
      </c>
      <c r="G49" s="51" t="str">
        <f>IFERROR(INDEX(#REF!,MATCH(C49,#REF!,0)),"")</f>
        <v/>
      </c>
      <c r="H49" s="51" t="str">
        <f>IFERROR(INDEX(#REF!,MATCH(C49,#REF!,0)),"")</f>
        <v/>
      </c>
      <c r="I49" s="51" t="str">
        <f>IFERROR(INDEX(#REF!,MATCH(C49,#REF!,0)),"")</f>
        <v/>
      </c>
      <c r="J49" s="51" t="str">
        <f>IFERROR(INDEX(#REF!,MATCH(C49,#REF!,0)),"")</f>
        <v/>
      </c>
      <c r="K49" s="51" t="str">
        <f>IFERROR(INDEX(#REF!,MATCH(C49,#REF!,0)),"")</f>
        <v/>
      </c>
      <c r="L49" s="25"/>
      <c r="M49" s="25"/>
      <c r="N49" s="25"/>
      <c r="O49" s="25"/>
      <c r="P49" s="51" t="str">
        <f>IFERROR(INDEX(#REF!,MATCH(O49,#REF!,0)),"")</f>
        <v/>
      </c>
      <c r="Q49" s="51" t="str">
        <f>IFERROR(INDEX(#REF!,MATCH(O49,#REF!,0)),"")</f>
        <v/>
      </c>
      <c r="R49" s="51">
        <f t="shared" si="10"/>
        <v>0</v>
      </c>
      <c r="S49" s="29"/>
      <c r="T49" s="25"/>
      <c r="U49" s="25"/>
      <c r="V49" s="30"/>
      <c r="W49" s="30"/>
      <c r="X49" s="51" t="str">
        <f t="shared" ca="1" si="11"/>
        <v/>
      </c>
      <c r="Y49" s="25"/>
      <c r="Z49" s="25"/>
      <c r="AA49" s="51" t="str">
        <f t="shared" ca="1" si="12"/>
        <v/>
      </c>
      <c r="AB49" s="51" t="str">
        <f t="shared" ca="1" si="13"/>
        <v>NON</v>
      </c>
      <c r="AC49" s="51" t="str">
        <f t="shared" si="14"/>
        <v/>
      </c>
      <c r="AD49" s="51" t="str">
        <f>IF(O49&lt;&gt;"",COUNTIFS($O$5:O49,O49),"")</f>
        <v/>
      </c>
      <c r="AE49" s="51" t="str">
        <f t="shared" si="15"/>
        <v/>
      </c>
      <c r="AF49" s="51" t="str">
        <f ca="1">IF(AB49="OUI",COUNTIFS($AB$5:AB49,"OUI"),"")</f>
        <v/>
      </c>
      <c r="AG49" s="51" t="str">
        <f t="shared" ca="1" si="16"/>
        <v/>
      </c>
      <c r="AH49" s="51" t="str">
        <f t="shared" si="17"/>
        <v>NON</v>
      </c>
    </row>
    <row r="50" spans="1:34" x14ac:dyDescent="0.25">
      <c r="A50" s="51" t="str">
        <f t="shared" si="9"/>
        <v>MVT-0046</v>
      </c>
      <c r="B50" s="36"/>
      <c r="C50" s="31"/>
      <c r="D50" s="51" t="str">
        <f>IFERROR(INDEX(#REF!,MATCH(C50,#REF!,0)),"")</f>
        <v/>
      </c>
      <c r="E50" s="51" t="str">
        <f>IFERROR(INDEX(#REF!,MATCH(C50,#REF!,0)),"")</f>
        <v/>
      </c>
      <c r="F50" s="51" t="str">
        <f>IFERROR(INDEX(#REF!,MATCH(C50,#REF!,0)),"")</f>
        <v/>
      </c>
      <c r="G50" s="51" t="str">
        <f>IFERROR(INDEX(#REF!,MATCH(C50,#REF!,0)),"")</f>
        <v/>
      </c>
      <c r="H50" s="51" t="str">
        <f>IFERROR(INDEX(#REF!,MATCH(C50,#REF!,0)),"")</f>
        <v/>
      </c>
      <c r="I50" s="51" t="str">
        <f>IFERROR(INDEX(#REF!,MATCH(C50,#REF!,0)),"")</f>
        <v/>
      </c>
      <c r="J50" s="51" t="str">
        <f>IFERROR(INDEX(#REF!,MATCH(C50,#REF!,0)),"")</f>
        <v/>
      </c>
      <c r="K50" s="51" t="str">
        <f>IFERROR(INDEX(#REF!,MATCH(C50,#REF!,0)),"")</f>
        <v/>
      </c>
      <c r="L50" s="31"/>
      <c r="M50" s="31"/>
      <c r="N50" s="31"/>
      <c r="O50" s="31"/>
      <c r="P50" s="51" t="str">
        <f>IFERROR(INDEX(#REF!,MATCH(O50,#REF!,0)),"")</f>
        <v/>
      </c>
      <c r="Q50" s="51" t="str">
        <f>IFERROR(INDEX(#REF!,MATCH(O50,#REF!,0)),"")</f>
        <v/>
      </c>
      <c r="R50" s="51">
        <f t="shared" si="10"/>
        <v>0</v>
      </c>
      <c r="S50" s="35"/>
      <c r="T50" s="31"/>
      <c r="U50" s="31"/>
      <c r="V50" s="36"/>
      <c r="W50" s="36"/>
      <c r="X50" s="51" t="str">
        <f t="shared" ca="1" si="11"/>
        <v/>
      </c>
      <c r="Y50" s="31"/>
      <c r="Z50" s="31"/>
      <c r="AA50" s="51" t="str">
        <f t="shared" ca="1" si="12"/>
        <v/>
      </c>
      <c r="AB50" s="51" t="str">
        <f t="shared" ca="1" si="13"/>
        <v>NON</v>
      </c>
      <c r="AC50" s="51" t="str">
        <f t="shared" si="14"/>
        <v/>
      </c>
      <c r="AD50" s="51" t="str">
        <f>IF(O50&lt;&gt;"",COUNTIFS($O$5:O50,O50),"")</f>
        <v/>
      </c>
      <c r="AE50" s="51" t="str">
        <f t="shared" si="15"/>
        <v/>
      </c>
      <c r="AF50" s="51" t="str">
        <f ca="1">IF(AB50="OUI",COUNTIFS($AB$5:AB50,"OUI"),"")</f>
        <v/>
      </c>
      <c r="AG50" s="51" t="str">
        <f t="shared" ca="1" si="16"/>
        <v/>
      </c>
      <c r="AH50" s="51" t="str">
        <f t="shared" si="17"/>
        <v>NON</v>
      </c>
    </row>
    <row r="51" spans="1:34" x14ac:dyDescent="0.25">
      <c r="A51" s="51" t="str">
        <f t="shared" si="9"/>
        <v>MVT-0047</v>
      </c>
      <c r="B51" s="30"/>
      <c r="C51" s="25"/>
      <c r="D51" s="51" t="str">
        <f>IFERROR(INDEX(#REF!,MATCH(C51,#REF!,0)),"")</f>
        <v/>
      </c>
      <c r="E51" s="51" t="str">
        <f>IFERROR(INDEX(#REF!,MATCH(C51,#REF!,0)),"")</f>
        <v/>
      </c>
      <c r="F51" s="51" t="str">
        <f>IFERROR(INDEX(#REF!,MATCH(C51,#REF!,0)),"")</f>
        <v/>
      </c>
      <c r="G51" s="51" t="str">
        <f>IFERROR(INDEX(#REF!,MATCH(C51,#REF!,0)),"")</f>
        <v/>
      </c>
      <c r="H51" s="51" t="str">
        <f>IFERROR(INDEX(#REF!,MATCH(C51,#REF!,0)),"")</f>
        <v/>
      </c>
      <c r="I51" s="51" t="str">
        <f>IFERROR(INDEX(#REF!,MATCH(C51,#REF!,0)),"")</f>
        <v/>
      </c>
      <c r="J51" s="51" t="str">
        <f>IFERROR(INDEX(#REF!,MATCH(C51,#REF!,0)),"")</f>
        <v/>
      </c>
      <c r="K51" s="51" t="str">
        <f>IFERROR(INDEX(#REF!,MATCH(C51,#REF!,0)),"")</f>
        <v/>
      </c>
      <c r="L51" s="25"/>
      <c r="M51" s="25"/>
      <c r="N51" s="25"/>
      <c r="O51" s="25"/>
      <c r="P51" s="51" t="str">
        <f>IFERROR(INDEX(#REF!,MATCH(O51,#REF!,0)),"")</f>
        <v/>
      </c>
      <c r="Q51" s="51" t="str">
        <f>IFERROR(INDEX(#REF!,MATCH(O51,#REF!,0)),"")</f>
        <v/>
      </c>
      <c r="R51" s="51">
        <f t="shared" si="10"/>
        <v>0</v>
      </c>
      <c r="S51" s="29"/>
      <c r="T51" s="25"/>
      <c r="U51" s="25"/>
      <c r="V51" s="30"/>
      <c r="W51" s="30"/>
      <c r="X51" s="51" t="str">
        <f t="shared" ca="1" si="11"/>
        <v/>
      </c>
      <c r="Y51" s="25"/>
      <c r="Z51" s="25"/>
      <c r="AA51" s="51" t="str">
        <f t="shared" ca="1" si="12"/>
        <v/>
      </c>
      <c r="AB51" s="51" t="str">
        <f t="shared" ca="1" si="13"/>
        <v>NON</v>
      </c>
      <c r="AC51" s="51" t="str">
        <f t="shared" si="14"/>
        <v/>
      </c>
      <c r="AD51" s="51" t="str">
        <f>IF(O51&lt;&gt;"",COUNTIFS($O$5:O51,O51),"")</f>
        <v/>
      </c>
      <c r="AE51" s="51" t="str">
        <f t="shared" si="15"/>
        <v/>
      </c>
      <c r="AF51" s="51" t="str">
        <f ca="1">IF(AB51="OUI",COUNTIFS($AB$5:AB51,"OUI"),"")</f>
        <v/>
      </c>
      <c r="AG51" s="51" t="str">
        <f t="shared" ca="1" si="16"/>
        <v/>
      </c>
      <c r="AH51" s="51" t="str">
        <f t="shared" si="17"/>
        <v>NON</v>
      </c>
    </row>
    <row r="52" spans="1:34" x14ac:dyDescent="0.25">
      <c r="A52" s="51" t="str">
        <f t="shared" si="9"/>
        <v>MVT-0048</v>
      </c>
      <c r="B52" s="36"/>
      <c r="C52" s="31"/>
      <c r="D52" s="51" t="str">
        <f>IFERROR(INDEX(#REF!,MATCH(C52,#REF!,0)),"")</f>
        <v/>
      </c>
      <c r="E52" s="51" t="str">
        <f>IFERROR(INDEX(#REF!,MATCH(C52,#REF!,0)),"")</f>
        <v/>
      </c>
      <c r="F52" s="51" t="str">
        <f>IFERROR(INDEX(#REF!,MATCH(C52,#REF!,0)),"")</f>
        <v/>
      </c>
      <c r="G52" s="51" t="str">
        <f>IFERROR(INDEX(#REF!,MATCH(C52,#REF!,0)),"")</f>
        <v/>
      </c>
      <c r="H52" s="51" t="str">
        <f>IFERROR(INDEX(#REF!,MATCH(C52,#REF!,0)),"")</f>
        <v/>
      </c>
      <c r="I52" s="51" t="str">
        <f>IFERROR(INDEX(#REF!,MATCH(C52,#REF!,0)),"")</f>
        <v/>
      </c>
      <c r="J52" s="51" t="str">
        <f>IFERROR(INDEX(#REF!,MATCH(C52,#REF!,0)),"")</f>
        <v/>
      </c>
      <c r="K52" s="51" t="str">
        <f>IFERROR(INDEX(#REF!,MATCH(C52,#REF!,0)),"")</f>
        <v/>
      </c>
      <c r="L52" s="31"/>
      <c r="M52" s="31"/>
      <c r="N52" s="31"/>
      <c r="O52" s="31"/>
      <c r="P52" s="51" t="str">
        <f>IFERROR(INDEX(#REF!,MATCH(O52,#REF!,0)),"")</f>
        <v/>
      </c>
      <c r="Q52" s="51" t="str">
        <f>IFERROR(INDEX(#REF!,MATCH(O52,#REF!,0)),"")</f>
        <v/>
      </c>
      <c r="R52" s="51">
        <f t="shared" si="10"/>
        <v>0</v>
      </c>
      <c r="S52" s="35"/>
      <c r="T52" s="31"/>
      <c r="U52" s="31"/>
      <c r="V52" s="36"/>
      <c r="W52" s="36"/>
      <c r="X52" s="51" t="str">
        <f t="shared" ca="1" si="11"/>
        <v/>
      </c>
      <c r="Y52" s="31"/>
      <c r="Z52" s="31"/>
      <c r="AA52" s="51" t="str">
        <f t="shared" ca="1" si="12"/>
        <v/>
      </c>
      <c r="AB52" s="51" t="str">
        <f t="shared" ca="1" si="13"/>
        <v>NON</v>
      </c>
      <c r="AC52" s="51" t="str">
        <f t="shared" si="14"/>
        <v/>
      </c>
      <c r="AD52" s="51" t="str">
        <f>IF(O52&lt;&gt;"",COUNTIFS($O$5:O52,O52),"")</f>
        <v/>
      </c>
      <c r="AE52" s="51" t="str">
        <f t="shared" si="15"/>
        <v/>
      </c>
      <c r="AF52" s="51" t="str">
        <f ca="1">IF(AB52="OUI",COUNTIFS($AB$5:AB52,"OUI"),"")</f>
        <v/>
      </c>
      <c r="AG52" s="51" t="str">
        <f t="shared" ca="1" si="16"/>
        <v/>
      </c>
      <c r="AH52" s="51" t="str">
        <f t="shared" si="17"/>
        <v>NON</v>
      </c>
    </row>
    <row r="53" spans="1:34" x14ac:dyDescent="0.25">
      <c r="A53" s="51" t="str">
        <f t="shared" si="9"/>
        <v>MVT-0049</v>
      </c>
      <c r="B53" s="30"/>
      <c r="C53" s="25"/>
      <c r="D53" s="51" t="str">
        <f>IFERROR(INDEX(#REF!,MATCH(C53,#REF!,0)),"")</f>
        <v/>
      </c>
      <c r="E53" s="51" t="str">
        <f>IFERROR(INDEX(#REF!,MATCH(C53,#REF!,0)),"")</f>
        <v/>
      </c>
      <c r="F53" s="51" t="str">
        <f>IFERROR(INDEX(#REF!,MATCH(C53,#REF!,0)),"")</f>
        <v/>
      </c>
      <c r="G53" s="51" t="str">
        <f>IFERROR(INDEX(#REF!,MATCH(C53,#REF!,0)),"")</f>
        <v/>
      </c>
      <c r="H53" s="51" t="str">
        <f>IFERROR(INDEX(#REF!,MATCH(C53,#REF!,0)),"")</f>
        <v/>
      </c>
      <c r="I53" s="51" t="str">
        <f>IFERROR(INDEX(#REF!,MATCH(C53,#REF!,0)),"")</f>
        <v/>
      </c>
      <c r="J53" s="51" t="str">
        <f>IFERROR(INDEX(#REF!,MATCH(C53,#REF!,0)),"")</f>
        <v/>
      </c>
      <c r="K53" s="51" t="str">
        <f>IFERROR(INDEX(#REF!,MATCH(C53,#REF!,0)),"")</f>
        <v/>
      </c>
      <c r="L53" s="25"/>
      <c r="M53" s="25"/>
      <c r="N53" s="25"/>
      <c r="O53" s="25"/>
      <c r="P53" s="51" t="str">
        <f>IFERROR(INDEX(#REF!,MATCH(O53,#REF!,0)),"")</f>
        <v/>
      </c>
      <c r="Q53" s="51" t="str">
        <f>IFERROR(INDEX(#REF!,MATCH(O53,#REF!,0)),"")</f>
        <v/>
      </c>
      <c r="R53" s="51">
        <f t="shared" si="10"/>
        <v>0</v>
      </c>
      <c r="S53" s="29"/>
      <c r="T53" s="25"/>
      <c r="U53" s="25"/>
      <c r="V53" s="30"/>
      <c r="W53" s="30"/>
      <c r="X53" s="51" t="str">
        <f t="shared" ca="1" si="11"/>
        <v/>
      </c>
      <c r="Y53" s="25"/>
      <c r="Z53" s="25"/>
      <c r="AA53" s="51" t="str">
        <f t="shared" ca="1" si="12"/>
        <v/>
      </c>
      <c r="AB53" s="51" t="str">
        <f t="shared" ca="1" si="13"/>
        <v>NON</v>
      </c>
      <c r="AC53" s="51" t="str">
        <f t="shared" si="14"/>
        <v/>
      </c>
      <c r="AD53" s="51" t="str">
        <f>IF(O53&lt;&gt;"",COUNTIFS($O$5:O53,O53),"")</f>
        <v/>
      </c>
      <c r="AE53" s="51" t="str">
        <f t="shared" si="15"/>
        <v/>
      </c>
      <c r="AF53" s="51" t="str">
        <f ca="1">IF(AB53="OUI",COUNTIFS($AB$5:AB53,"OUI"),"")</f>
        <v/>
      </c>
      <c r="AG53" s="51" t="str">
        <f t="shared" ca="1" si="16"/>
        <v/>
      </c>
      <c r="AH53" s="51" t="str">
        <f t="shared" si="17"/>
        <v>NON</v>
      </c>
    </row>
    <row r="54" spans="1:34" x14ac:dyDescent="0.25">
      <c r="A54" s="51" t="str">
        <f t="shared" si="9"/>
        <v>MVT-0050</v>
      </c>
      <c r="B54" s="36"/>
      <c r="C54" s="31"/>
      <c r="D54" s="51" t="str">
        <f>IFERROR(INDEX(#REF!,MATCH(C54,#REF!,0)),"")</f>
        <v/>
      </c>
      <c r="E54" s="51" t="str">
        <f>IFERROR(INDEX(#REF!,MATCH(C54,#REF!,0)),"")</f>
        <v/>
      </c>
      <c r="F54" s="51" t="str">
        <f>IFERROR(INDEX(#REF!,MATCH(C54,#REF!,0)),"")</f>
        <v/>
      </c>
      <c r="G54" s="51" t="str">
        <f>IFERROR(INDEX(#REF!,MATCH(C54,#REF!,0)),"")</f>
        <v/>
      </c>
      <c r="H54" s="51" t="str">
        <f>IFERROR(INDEX(#REF!,MATCH(C54,#REF!,0)),"")</f>
        <v/>
      </c>
      <c r="I54" s="51" t="str">
        <f>IFERROR(INDEX(#REF!,MATCH(C54,#REF!,0)),"")</f>
        <v/>
      </c>
      <c r="J54" s="51" t="str">
        <f>IFERROR(INDEX(#REF!,MATCH(C54,#REF!,0)),"")</f>
        <v/>
      </c>
      <c r="K54" s="51" t="str">
        <f>IFERROR(INDEX(#REF!,MATCH(C54,#REF!,0)),"")</f>
        <v/>
      </c>
      <c r="L54" s="31"/>
      <c r="M54" s="31"/>
      <c r="N54" s="31"/>
      <c r="O54" s="31"/>
      <c r="P54" s="51" t="str">
        <f>IFERROR(INDEX(#REF!,MATCH(O54,#REF!,0)),"")</f>
        <v/>
      </c>
      <c r="Q54" s="51" t="str">
        <f>IFERROR(INDEX(#REF!,MATCH(O54,#REF!,0)),"")</f>
        <v/>
      </c>
      <c r="R54" s="51">
        <f t="shared" si="10"/>
        <v>0</v>
      </c>
      <c r="S54" s="35"/>
      <c r="T54" s="31"/>
      <c r="U54" s="31"/>
      <c r="V54" s="36"/>
      <c r="W54" s="36"/>
      <c r="X54" s="51" t="str">
        <f t="shared" ca="1" si="11"/>
        <v/>
      </c>
      <c r="Y54" s="31"/>
      <c r="Z54" s="31"/>
      <c r="AA54" s="51" t="str">
        <f t="shared" ca="1" si="12"/>
        <v/>
      </c>
      <c r="AB54" s="51" t="str">
        <f t="shared" ca="1" si="13"/>
        <v>NON</v>
      </c>
      <c r="AC54" s="51" t="str">
        <f t="shared" si="14"/>
        <v/>
      </c>
      <c r="AD54" s="51" t="str">
        <f>IF(O54&lt;&gt;"",COUNTIFS($O$5:O54,O54),"")</f>
        <v/>
      </c>
      <c r="AE54" s="51" t="str">
        <f t="shared" si="15"/>
        <v/>
      </c>
      <c r="AF54" s="51" t="str">
        <f ca="1">IF(AB54="OUI",COUNTIFS($AB$5:AB54,"OUI"),"")</f>
        <v/>
      </c>
      <c r="AG54" s="51" t="str">
        <f t="shared" ca="1" si="16"/>
        <v/>
      </c>
      <c r="AH54" s="51" t="str">
        <f t="shared" si="17"/>
        <v>NON</v>
      </c>
    </row>
    <row r="55" spans="1:34" x14ac:dyDescent="0.25">
      <c r="A55" s="51" t="str">
        <f t="shared" si="9"/>
        <v>MVT-0051</v>
      </c>
      <c r="B55" s="30"/>
      <c r="C55" s="25"/>
      <c r="D55" s="51" t="str">
        <f>IFERROR(INDEX(#REF!,MATCH(C55,#REF!,0)),"")</f>
        <v/>
      </c>
      <c r="E55" s="51" t="str">
        <f>IFERROR(INDEX(#REF!,MATCH(C55,#REF!,0)),"")</f>
        <v/>
      </c>
      <c r="F55" s="51" t="str">
        <f>IFERROR(INDEX(#REF!,MATCH(C55,#REF!,0)),"")</f>
        <v/>
      </c>
      <c r="G55" s="51" t="str">
        <f>IFERROR(INDEX(#REF!,MATCH(C55,#REF!,0)),"")</f>
        <v/>
      </c>
      <c r="H55" s="51" t="str">
        <f>IFERROR(INDEX(#REF!,MATCH(C55,#REF!,0)),"")</f>
        <v/>
      </c>
      <c r="I55" s="51" t="str">
        <f>IFERROR(INDEX(#REF!,MATCH(C55,#REF!,0)),"")</f>
        <v/>
      </c>
      <c r="J55" s="51" t="str">
        <f>IFERROR(INDEX(#REF!,MATCH(C55,#REF!,0)),"")</f>
        <v/>
      </c>
      <c r="K55" s="51" t="str">
        <f>IFERROR(INDEX(#REF!,MATCH(C55,#REF!,0)),"")</f>
        <v/>
      </c>
      <c r="L55" s="25"/>
      <c r="M55" s="25"/>
      <c r="N55" s="25"/>
      <c r="O55" s="25"/>
      <c r="P55" s="51" t="str">
        <f>IFERROR(INDEX(#REF!,MATCH(O55,#REF!,0)),"")</f>
        <v/>
      </c>
      <c r="Q55" s="51" t="str">
        <f>IFERROR(INDEX(#REF!,MATCH(O55,#REF!,0)),"")</f>
        <v/>
      </c>
      <c r="R55" s="51">
        <f t="shared" si="10"/>
        <v>0</v>
      </c>
      <c r="S55" s="29"/>
      <c r="T55" s="25"/>
      <c r="U55" s="25"/>
      <c r="V55" s="30"/>
      <c r="W55" s="30"/>
      <c r="X55" s="51" t="str">
        <f t="shared" ca="1" si="11"/>
        <v/>
      </c>
      <c r="Y55" s="25"/>
      <c r="Z55" s="25"/>
      <c r="AA55" s="51" t="str">
        <f t="shared" ca="1" si="12"/>
        <v/>
      </c>
      <c r="AB55" s="51" t="str">
        <f t="shared" ca="1" si="13"/>
        <v>NON</v>
      </c>
      <c r="AC55" s="51" t="str">
        <f t="shared" si="14"/>
        <v/>
      </c>
      <c r="AD55" s="51" t="str">
        <f>IF(O55&lt;&gt;"",COUNTIFS($O$5:O55,O55),"")</f>
        <v/>
      </c>
      <c r="AE55" s="51" t="str">
        <f t="shared" si="15"/>
        <v/>
      </c>
      <c r="AF55" s="51" t="str">
        <f ca="1">IF(AB55="OUI",COUNTIFS($AB$5:AB55,"OUI"),"")</f>
        <v/>
      </c>
      <c r="AG55" s="51" t="str">
        <f t="shared" ca="1" si="16"/>
        <v/>
      </c>
      <c r="AH55" s="51" t="str">
        <f t="shared" si="17"/>
        <v>NON</v>
      </c>
    </row>
    <row r="56" spans="1:34" x14ac:dyDescent="0.25">
      <c r="A56" s="51" t="str">
        <f t="shared" si="9"/>
        <v>MVT-0052</v>
      </c>
      <c r="B56" s="36"/>
      <c r="C56" s="31"/>
      <c r="D56" s="51" t="str">
        <f>IFERROR(INDEX(#REF!,MATCH(C56,#REF!,0)),"")</f>
        <v/>
      </c>
      <c r="E56" s="51" t="str">
        <f>IFERROR(INDEX(#REF!,MATCH(C56,#REF!,0)),"")</f>
        <v/>
      </c>
      <c r="F56" s="51" t="str">
        <f>IFERROR(INDEX(#REF!,MATCH(C56,#REF!,0)),"")</f>
        <v/>
      </c>
      <c r="G56" s="51" t="str">
        <f>IFERROR(INDEX(#REF!,MATCH(C56,#REF!,0)),"")</f>
        <v/>
      </c>
      <c r="H56" s="51" t="str">
        <f>IFERROR(INDEX(#REF!,MATCH(C56,#REF!,0)),"")</f>
        <v/>
      </c>
      <c r="I56" s="51" t="str">
        <f>IFERROR(INDEX(#REF!,MATCH(C56,#REF!,0)),"")</f>
        <v/>
      </c>
      <c r="J56" s="51" t="str">
        <f>IFERROR(INDEX(#REF!,MATCH(C56,#REF!,0)),"")</f>
        <v/>
      </c>
      <c r="K56" s="51" t="str">
        <f>IFERROR(INDEX(#REF!,MATCH(C56,#REF!,0)),"")</f>
        <v/>
      </c>
      <c r="L56" s="31"/>
      <c r="M56" s="31"/>
      <c r="N56" s="31"/>
      <c r="O56" s="31"/>
      <c r="P56" s="51" t="str">
        <f>IFERROR(INDEX(#REF!,MATCH(O56,#REF!,0)),"")</f>
        <v/>
      </c>
      <c r="Q56" s="51" t="str">
        <f>IFERROR(INDEX(#REF!,MATCH(O56,#REF!,0)),"")</f>
        <v/>
      </c>
      <c r="R56" s="51">
        <f t="shared" si="10"/>
        <v>0</v>
      </c>
      <c r="S56" s="35"/>
      <c r="T56" s="31"/>
      <c r="U56" s="31"/>
      <c r="V56" s="36"/>
      <c r="W56" s="36"/>
      <c r="X56" s="51" t="str">
        <f t="shared" ca="1" si="11"/>
        <v/>
      </c>
      <c r="Y56" s="31"/>
      <c r="Z56" s="31"/>
      <c r="AA56" s="51" t="str">
        <f t="shared" ca="1" si="12"/>
        <v/>
      </c>
      <c r="AB56" s="51" t="str">
        <f t="shared" ca="1" si="13"/>
        <v>NON</v>
      </c>
      <c r="AC56" s="51" t="str">
        <f t="shared" si="14"/>
        <v/>
      </c>
      <c r="AD56" s="51" t="str">
        <f>IF(O56&lt;&gt;"",COUNTIFS($O$5:O56,O56),"")</f>
        <v/>
      </c>
      <c r="AE56" s="51" t="str">
        <f t="shared" si="15"/>
        <v/>
      </c>
      <c r="AF56" s="51" t="str">
        <f ca="1">IF(AB56="OUI",COUNTIFS($AB$5:AB56,"OUI"),"")</f>
        <v/>
      </c>
      <c r="AG56" s="51" t="str">
        <f t="shared" ca="1" si="16"/>
        <v/>
      </c>
      <c r="AH56" s="51" t="str">
        <f t="shared" si="17"/>
        <v>NON</v>
      </c>
    </row>
    <row r="57" spans="1:34" x14ac:dyDescent="0.25">
      <c r="A57" s="51" t="str">
        <f t="shared" si="9"/>
        <v>MVT-0053</v>
      </c>
      <c r="B57" s="30"/>
      <c r="C57" s="25"/>
      <c r="D57" s="51" t="str">
        <f>IFERROR(INDEX(#REF!,MATCH(C57,#REF!,0)),"")</f>
        <v/>
      </c>
      <c r="E57" s="51" t="str">
        <f>IFERROR(INDEX(#REF!,MATCH(C57,#REF!,0)),"")</f>
        <v/>
      </c>
      <c r="F57" s="51" t="str">
        <f>IFERROR(INDEX(#REF!,MATCH(C57,#REF!,0)),"")</f>
        <v/>
      </c>
      <c r="G57" s="51" t="str">
        <f>IFERROR(INDEX(#REF!,MATCH(C57,#REF!,0)),"")</f>
        <v/>
      </c>
      <c r="H57" s="51" t="str">
        <f>IFERROR(INDEX(#REF!,MATCH(C57,#REF!,0)),"")</f>
        <v/>
      </c>
      <c r="I57" s="51" t="str">
        <f>IFERROR(INDEX(#REF!,MATCH(C57,#REF!,0)),"")</f>
        <v/>
      </c>
      <c r="J57" s="51" t="str">
        <f>IFERROR(INDEX(#REF!,MATCH(C57,#REF!,0)),"")</f>
        <v/>
      </c>
      <c r="K57" s="51" t="str">
        <f>IFERROR(INDEX(#REF!,MATCH(C57,#REF!,0)),"")</f>
        <v/>
      </c>
      <c r="L57" s="25"/>
      <c r="M57" s="25"/>
      <c r="N57" s="25"/>
      <c r="O57" s="25"/>
      <c r="P57" s="51" t="str">
        <f>IFERROR(INDEX(#REF!,MATCH(O57,#REF!,0)),"")</f>
        <v/>
      </c>
      <c r="Q57" s="51" t="str">
        <f>IFERROR(INDEX(#REF!,MATCH(O57,#REF!,0)),"")</f>
        <v/>
      </c>
      <c r="R57" s="51">
        <f t="shared" si="10"/>
        <v>0</v>
      </c>
      <c r="S57" s="29"/>
      <c r="T57" s="25"/>
      <c r="U57" s="25"/>
      <c r="V57" s="30"/>
      <c r="W57" s="30"/>
      <c r="X57" s="51" t="str">
        <f t="shared" ca="1" si="11"/>
        <v/>
      </c>
      <c r="Y57" s="25"/>
      <c r="Z57" s="25"/>
      <c r="AA57" s="51" t="str">
        <f t="shared" ca="1" si="12"/>
        <v/>
      </c>
      <c r="AB57" s="51" t="str">
        <f t="shared" ca="1" si="13"/>
        <v>NON</v>
      </c>
      <c r="AC57" s="51" t="str">
        <f t="shared" si="14"/>
        <v/>
      </c>
      <c r="AD57" s="51" t="str">
        <f>IF(O57&lt;&gt;"",COUNTIFS($O$5:O57,O57),"")</f>
        <v/>
      </c>
      <c r="AE57" s="51" t="str">
        <f t="shared" si="15"/>
        <v/>
      </c>
      <c r="AF57" s="51" t="str">
        <f ca="1">IF(AB57="OUI",COUNTIFS($AB$5:AB57,"OUI"),"")</f>
        <v/>
      </c>
      <c r="AG57" s="51" t="str">
        <f t="shared" ca="1" si="16"/>
        <v/>
      </c>
      <c r="AH57" s="51" t="str">
        <f t="shared" si="17"/>
        <v>NON</v>
      </c>
    </row>
    <row r="58" spans="1:34" x14ac:dyDescent="0.25">
      <c r="A58" s="51" t="str">
        <f t="shared" si="9"/>
        <v>MVT-0054</v>
      </c>
      <c r="B58" s="36"/>
      <c r="C58" s="31"/>
      <c r="D58" s="51" t="str">
        <f>IFERROR(INDEX(#REF!,MATCH(C58,#REF!,0)),"")</f>
        <v/>
      </c>
      <c r="E58" s="51" t="str">
        <f>IFERROR(INDEX(#REF!,MATCH(C58,#REF!,0)),"")</f>
        <v/>
      </c>
      <c r="F58" s="51" t="str">
        <f>IFERROR(INDEX(#REF!,MATCH(C58,#REF!,0)),"")</f>
        <v/>
      </c>
      <c r="G58" s="51" t="str">
        <f>IFERROR(INDEX(#REF!,MATCH(C58,#REF!,0)),"")</f>
        <v/>
      </c>
      <c r="H58" s="51" t="str">
        <f>IFERROR(INDEX(#REF!,MATCH(C58,#REF!,0)),"")</f>
        <v/>
      </c>
      <c r="I58" s="51" t="str">
        <f>IFERROR(INDEX(#REF!,MATCH(C58,#REF!,0)),"")</f>
        <v/>
      </c>
      <c r="J58" s="51" t="str">
        <f>IFERROR(INDEX(#REF!,MATCH(C58,#REF!,0)),"")</f>
        <v/>
      </c>
      <c r="K58" s="51" t="str">
        <f>IFERROR(INDEX(#REF!,MATCH(C58,#REF!,0)),"")</f>
        <v/>
      </c>
      <c r="L58" s="31"/>
      <c r="M58" s="31"/>
      <c r="N58" s="31"/>
      <c r="O58" s="31"/>
      <c r="P58" s="51" t="str">
        <f>IFERROR(INDEX(#REF!,MATCH(O58,#REF!,0)),"")</f>
        <v/>
      </c>
      <c r="Q58" s="51" t="str">
        <f>IFERROR(INDEX(#REF!,MATCH(O58,#REF!,0)),"")</f>
        <v/>
      </c>
      <c r="R58" s="51">
        <f t="shared" si="10"/>
        <v>0</v>
      </c>
      <c r="S58" s="35"/>
      <c r="T58" s="31"/>
      <c r="U58" s="31"/>
      <c r="V58" s="36"/>
      <c r="W58" s="36"/>
      <c r="X58" s="51" t="str">
        <f t="shared" ca="1" si="11"/>
        <v/>
      </c>
      <c r="Y58" s="31"/>
      <c r="Z58" s="31"/>
      <c r="AA58" s="51" t="str">
        <f t="shared" ca="1" si="12"/>
        <v/>
      </c>
      <c r="AB58" s="51" t="str">
        <f t="shared" ca="1" si="13"/>
        <v>NON</v>
      </c>
      <c r="AC58" s="51" t="str">
        <f t="shared" si="14"/>
        <v/>
      </c>
      <c r="AD58" s="51" t="str">
        <f>IF(O58&lt;&gt;"",COUNTIFS($O$5:O58,O58),"")</f>
        <v/>
      </c>
      <c r="AE58" s="51" t="str">
        <f t="shared" si="15"/>
        <v/>
      </c>
      <c r="AF58" s="51" t="str">
        <f ca="1">IF(AB58="OUI",COUNTIFS($AB$5:AB58,"OUI"),"")</f>
        <v/>
      </c>
      <c r="AG58" s="51" t="str">
        <f t="shared" ca="1" si="16"/>
        <v/>
      </c>
      <c r="AH58" s="51" t="str">
        <f t="shared" si="17"/>
        <v>NON</v>
      </c>
    </row>
    <row r="59" spans="1:34" x14ac:dyDescent="0.25">
      <c r="A59" s="51" t="str">
        <f t="shared" si="9"/>
        <v>MVT-0055</v>
      </c>
      <c r="B59" s="30"/>
      <c r="C59" s="25"/>
      <c r="D59" s="51" t="str">
        <f>IFERROR(INDEX(#REF!,MATCH(C59,#REF!,0)),"")</f>
        <v/>
      </c>
      <c r="E59" s="51" t="str">
        <f>IFERROR(INDEX(#REF!,MATCH(C59,#REF!,0)),"")</f>
        <v/>
      </c>
      <c r="F59" s="51" t="str">
        <f>IFERROR(INDEX(#REF!,MATCH(C59,#REF!,0)),"")</f>
        <v/>
      </c>
      <c r="G59" s="51" t="str">
        <f>IFERROR(INDEX(#REF!,MATCH(C59,#REF!,0)),"")</f>
        <v/>
      </c>
      <c r="H59" s="51" t="str">
        <f>IFERROR(INDEX(#REF!,MATCH(C59,#REF!,0)),"")</f>
        <v/>
      </c>
      <c r="I59" s="51" t="str">
        <f>IFERROR(INDEX(#REF!,MATCH(C59,#REF!,0)),"")</f>
        <v/>
      </c>
      <c r="J59" s="51" t="str">
        <f>IFERROR(INDEX(#REF!,MATCH(C59,#REF!,0)),"")</f>
        <v/>
      </c>
      <c r="K59" s="51" t="str">
        <f>IFERROR(INDEX(#REF!,MATCH(C59,#REF!,0)),"")</f>
        <v/>
      </c>
      <c r="L59" s="25"/>
      <c r="M59" s="25"/>
      <c r="N59" s="25"/>
      <c r="O59" s="25"/>
      <c r="P59" s="51" t="str">
        <f>IFERROR(INDEX(#REF!,MATCH(O59,#REF!,0)),"")</f>
        <v/>
      </c>
      <c r="Q59" s="51" t="str">
        <f>IFERROR(INDEX(#REF!,MATCH(O59,#REF!,0)),"")</f>
        <v/>
      </c>
      <c r="R59" s="51">
        <f t="shared" si="10"/>
        <v>0</v>
      </c>
      <c r="S59" s="29"/>
      <c r="T59" s="25"/>
      <c r="U59" s="25"/>
      <c r="V59" s="30"/>
      <c r="W59" s="30"/>
      <c r="X59" s="51" t="str">
        <f t="shared" ca="1" si="11"/>
        <v/>
      </c>
      <c r="Y59" s="25"/>
      <c r="Z59" s="25"/>
      <c r="AA59" s="51" t="str">
        <f t="shared" ca="1" si="12"/>
        <v/>
      </c>
      <c r="AB59" s="51" t="str">
        <f t="shared" ca="1" si="13"/>
        <v>NON</v>
      </c>
      <c r="AC59" s="51" t="str">
        <f t="shared" si="14"/>
        <v/>
      </c>
      <c r="AD59" s="51" t="str">
        <f>IF(O59&lt;&gt;"",COUNTIFS($O$5:O59,O59),"")</f>
        <v/>
      </c>
      <c r="AE59" s="51" t="str">
        <f t="shared" si="15"/>
        <v/>
      </c>
      <c r="AF59" s="51" t="str">
        <f ca="1">IF(AB59="OUI",COUNTIFS($AB$5:AB59,"OUI"),"")</f>
        <v/>
      </c>
      <c r="AG59" s="51" t="str">
        <f t="shared" ca="1" si="16"/>
        <v/>
      </c>
      <c r="AH59" s="51" t="str">
        <f t="shared" si="17"/>
        <v>NON</v>
      </c>
    </row>
    <row r="60" spans="1:34" x14ac:dyDescent="0.25">
      <c r="A60" s="51" t="str">
        <f t="shared" si="9"/>
        <v>MVT-0056</v>
      </c>
      <c r="B60" s="36"/>
      <c r="C60" s="31"/>
      <c r="D60" s="51" t="str">
        <f>IFERROR(INDEX(#REF!,MATCH(C60,#REF!,0)),"")</f>
        <v/>
      </c>
      <c r="E60" s="51" t="str">
        <f>IFERROR(INDEX(#REF!,MATCH(C60,#REF!,0)),"")</f>
        <v/>
      </c>
      <c r="F60" s="51" t="str">
        <f>IFERROR(INDEX(#REF!,MATCH(C60,#REF!,0)),"")</f>
        <v/>
      </c>
      <c r="G60" s="51" t="str">
        <f>IFERROR(INDEX(#REF!,MATCH(C60,#REF!,0)),"")</f>
        <v/>
      </c>
      <c r="H60" s="51" t="str">
        <f>IFERROR(INDEX(#REF!,MATCH(C60,#REF!,0)),"")</f>
        <v/>
      </c>
      <c r="I60" s="51" t="str">
        <f>IFERROR(INDEX(#REF!,MATCH(C60,#REF!,0)),"")</f>
        <v/>
      </c>
      <c r="J60" s="51" t="str">
        <f>IFERROR(INDEX(#REF!,MATCH(C60,#REF!,0)),"")</f>
        <v/>
      </c>
      <c r="K60" s="51" t="str">
        <f>IFERROR(INDEX(#REF!,MATCH(C60,#REF!,0)),"")</f>
        <v/>
      </c>
      <c r="L60" s="31"/>
      <c r="M60" s="31"/>
      <c r="N60" s="31"/>
      <c r="O60" s="31"/>
      <c r="P60" s="51" t="str">
        <f>IFERROR(INDEX(#REF!,MATCH(O60,#REF!,0)),"")</f>
        <v/>
      </c>
      <c r="Q60" s="51" t="str">
        <f>IFERROR(INDEX(#REF!,MATCH(O60,#REF!,0)),"")</f>
        <v/>
      </c>
      <c r="R60" s="51">
        <f t="shared" si="10"/>
        <v>0</v>
      </c>
      <c r="S60" s="35"/>
      <c r="T60" s="31"/>
      <c r="U60" s="31"/>
      <c r="V60" s="36"/>
      <c r="W60" s="36"/>
      <c r="X60" s="51" t="str">
        <f t="shared" ca="1" si="11"/>
        <v/>
      </c>
      <c r="Y60" s="31"/>
      <c r="Z60" s="31"/>
      <c r="AA60" s="51" t="str">
        <f t="shared" ca="1" si="12"/>
        <v/>
      </c>
      <c r="AB60" s="51" t="str">
        <f t="shared" ca="1" si="13"/>
        <v>NON</v>
      </c>
      <c r="AC60" s="51" t="str">
        <f t="shared" si="14"/>
        <v/>
      </c>
      <c r="AD60" s="51" t="str">
        <f>IF(O60&lt;&gt;"",COUNTIFS($O$5:O60,O60),"")</f>
        <v/>
      </c>
      <c r="AE60" s="51" t="str">
        <f t="shared" si="15"/>
        <v/>
      </c>
      <c r="AF60" s="51" t="str">
        <f ca="1">IF(AB60="OUI",COUNTIFS($AB$5:AB60,"OUI"),"")</f>
        <v/>
      </c>
      <c r="AG60" s="51" t="str">
        <f t="shared" ca="1" si="16"/>
        <v/>
      </c>
      <c r="AH60" s="51" t="str">
        <f t="shared" si="17"/>
        <v>NON</v>
      </c>
    </row>
    <row r="61" spans="1:34" x14ac:dyDescent="0.25">
      <c r="A61" s="51" t="str">
        <f t="shared" si="9"/>
        <v>MVT-0057</v>
      </c>
      <c r="B61" s="30"/>
      <c r="C61" s="25"/>
      <c r="D61" s="51" t="str">
        <f>IFERROR(INDEX(#REF!,MATCH(C61,#REF!,0)),"")</f>
        <v/>
      </c>
      <c r="E61" s="51" t="str">
        <f>IFERROR(INDEX(#REF!,MATCH(C61,#REF!,0)),"")</f>
        <v/>
      </c>
      <c r="F61" s="51" t="str">
        <f>IFERROR(INDEX(#REF!,MATCH(C61,#REF!,0)),"")</f>
        <v/>
      </c>
      <c r="G61" s="51" t="str">
        <f>IFERROR(INDEX(#REF!,MATCH(C61,#REF!,0)),"")</f>
        <v/>
      </c>
      <c r="H61" s="51" t="str">
        <f>IFERROR(INDEX(#REF!,MATCH(C61,#REF!,0)),"")</f>
        <v/>
      </c>
      <c r="I61" s="51" t="str">
        <f>IFERROR(INDEX(#REF!,MATCH(C61,#REF!,0)),"")</f>
        <v/>
      </c>
      <c r="J61" s="51" t="str">
        <f>IFERROR(INDEX(#REF!,MATCH(C61,#REF!,0)),"")</f>
        <v/>
      </c>
      <c r="K61" s="51" t="str">
        <f>IFERROR(INDEX(#REF!,MATCH(C61,#REF!,0)),"")</f>
        <v/>
      </c>
      <c r="L61" s="25"/>
      <c r="M61" s="25"/>
      <c r="N61" s="25"/>
      <c r="O61" s="25"/>
      <c r="P61" s="51" t="str">
        <f>IFERROR(INDEX(#REF!,MATCH(O61,#REF!,0)),"")</f>
        <v/>
      </c>
      <c r="Q61" s="51" t="str">
        <f>IFERROR(INDEX(#REF!,MATCH(O61,#REF!,0)),"")</f>
        <v/>
      </c>
      <c r="R61" s="51">
        <f t="shared" si="10"/>
        <v>0</v>
      </c>
      <c r="S61" s="29"/>
      <c r="T61" s="25"/>
      <c r="U61" s="25"/>
      <c r="V61" s="30"/>
      <c r="W61" s="30"/>
      <c r="X61" s="51" t="str">
        <f t="shared" ca="1" si="11"/>
        <v/>
      </c>
      <c r="Y61" s="25"/>
      <c r="Z61" s="25"/>
      <c r="AA61" s="51" t="str">
        <f t="shared" ca="1" si="12"/>
        <v/>
      </c>
      <c r="AB61" s="51" t="str">
        <f t="shared" ca="1" si="13"/>
        <v>NON</v>
      </c>
      <c r="AC61" s="51" t="str">
        <f t="shared" si="14"/>
        <v/>
      </c>
      <c r="AD61" s="51" t="str">
        <f>IF(O61&lt;&gt;"",COUNTIFS($O$5:O61,O61),"")</f>
        <v/>
      </c>
      <c r="AE61" s="51" t="str">
        <f t="shared" si="15"/>
        <v/>
      </c>
      <c r="AF61" s="51" t="str">
        <f ca="1">IF(AB61="OUI",COUNTIFS($AB$5:AB61,"OUI"),"")</f>
        <v/>
      </c>
      <c r="AG61" s="51" t="str">
        <f t="shared" ca="1" si="16"/>
        <v/>
      </c>
      <c r="AH61" s="51" t="str">
        <f t="shared" si="17"/>
        <v>NON</v>
      </c>
    </row>
    <row r="62" spans="1:34" x14ac:dyDescent="0.25">
      <c r="A62" s="51" t="str">
        <f t="shared" si="9"/>
        <v>MVT-0058</v>
      </c>
      <c r="B62" s="36"/>
      <c r="C62" s="31"/>
      <c r="D62" s="51" t="str">
        <f>IFERROR(INDEX(#REF!,MATCH(C62,#REF!,0)),"")</f>
        <v/>
      </c>
      <c r="E62" s="51" t="str">
        <f>IFERROR(INDEX(#REF!,MATCH(C62,#REF!,0)),"")</f>
        <v/>
      </c>
      <c r="F62" s="51" t="str">
        <f>IFERROR(INDEX(#REF!,MATCH(C62,#REF!,0)),"")</f>
        <v/>
      </c>
      <c r="G62" s="51" t="str">
        <f>IFERROR(INDEX(#REF!,MATCH(C62,#REF!,0)),"")</f>
        <v/>
      </c>
      <c r="H62" s="51" t="str">
        <f>IFERROR(INDEX(#REF!,MATCH(C62,#REF!,0)),"")</f>
        <v/>
      </c>
      <c r="I62" s="51" t="str">
        <f>IFERROR(INDEX(#REF!,MATCH(C62,#REF!,0)),"")</f>
        <v/>
      </c>
      <c r="J62" s="51" t="str">
        <f>IFERROR(INDEX(#REF!,MATCH(C62,#REF!,0)),"")</f>
        <v/>
      </c>
      <c r="K62" s="51" t="str">
        <f>IFERROR(INDEX(#REF!,MATCH(C62,#REF!,0)),"")</f>
        <v/>
      </c>
      <c r="L62" s="31"/>
      <c r="M62" s="31"/>
      <c r="N62" s="31"/>
      <c r="O62" s="31"/>
      <c r="P62" s="51" t="str">
        <f>IFERROR(INDEX(#REF!,MATCH(O62,#REF!,0)),"")</f>
        <v/>
      </c>
      <c r="Q62" s="51" t="str">
        <f>IFERROR(INDEX(#REF!,MATCH(O62,#REF!,0)),"")</f>
        <v/>
      </c>
      <c r="R62" s="51">
        <f t="shared" si="10"/>
        <v>0</v>
      </c>
      <c r="S62" s="35"/>
      <c r="T62" s="31"/>
      <c r="U62" s="31"/>
      <c r="V62" s="36"/>
      <c r="W62" s="36"/>
      <c r="X62" s="51" t="str">
        <f t="shared" ca="1" si="11"/>
        <v/>
      </c>
      <c r="Y62" s="31"/>
      <c r="Z62" s="31"/>
      <c r="AA62" s="51" t="str">
        <f t="shared" ca="1" si="12"/>
        <v/>
      </c>
      <c r="AB62" s="51" t="str">
        <f t="shared" ca="1" si="13"/>
        <v>NON</v>
      </c>
      <c r="AC62" s="51" t="str">
        <f t="shared" si="14"/>
        <v/>
      </c>
      <c r="AD62" s="51" t="str">
        <f>IF(O62&lt;&gt;"",COUNTIFS($O$5:O62,O62),"")</f>
        <v/>
      </c>
      <c r="AE62" s="51" t="str">
        <f t="shared" si="15"/>
        <v/>
      </c>
      <c r="AF62" s="51" t="str">
        <f ca="1">IF(AB62="OUI",COUNTIFS($AB$5:AB62,"OUI"),"")</f>
        <v/>
      </c>
      <c r="AG62" s="51" t="str">
        <f t="shared" ca="1" si="16"/>
        <v/>
      </c>
      <c r="AH62" s="51" t="str">
        <f t="shared" si="17"/>
        <v>NON</v>
      </c>
    </row>
    <row r="63" spans="1:34" x14ac:dyDescent="0.25">
      <c r="A63" s="51" t="str">
        <f t="shared" si="9"/>
        <v>MVT-0059</v>
      </c>
      <c r="B63" s="30"/>
      <c r="C63" s="25"/>
      <c r="D63" s="51" t="str">
        <f>IFERROR(INDEX(#REF!,MATCH(C63,#REF!,0)),"")</f>
        <v/>
      </c>
      <c r="E63" s="51" t="str">
        <f>IFERROR(INDEX(#REF!,MATCH(C63,#REF!,0)),"")</f>
        <v/>
      </c>
      <c r="F63" s="51" t="str">
        <f>IFERROR(INDEX(#REF!,MATCH(C63,#REF!,0)),"")</f>
        <v/>
      </c>
      <c r="G63" s="51" t="str">
        <f>IFERROR(INDEX(#REF!,MATCH(C63,#REF!,0)),"")</f>
        <v/>
      </c>
      <c r="H63" s="51" t="str">
        <f>IFERROR(INDEX(#REF!,MATCH(C63,#REF!,0)),"")</f>
        <v/>
      </c>
      <c r="I63" s="51" t="str">
        <f>IFERROR(INDEX(#REF!,MATCH(C63,#REF!,0)),"")</f>
        <v/>
      </c>
      <c r="J63" s="51" t="str">
        <f>IFERROR(INDEX(#REF!,MATCH(C63,#REF!,0)),"")</f>
        <v/>
      </c>
      <c r="K63" s="51" t="str">
        <f>IFERROR(INDEX(#REF!,MATCH(C63,#REF!,0)),"")</f>
        <v/>
      </c>
      <c r="L63" s="25"/>
      <c r="M63" s="25"/>
      <c r="N63" s="25"/>
      <c r="O63" s="25"/>
      <c r="P63" s="51" t="str">
        <f>IFERROR(INDEX(#REF!,MATCH(O63,#REF!,0)),"")</f>
        <v/>
      </c>
      <c r="Q63" s="51" t="str">
        <f>IFERROR(INDEX(#REF!,MATCH(O63,#REF!,0)),"")</f>
        <v/>
      </c>
      <c r="R63" s="51">
        <f t="shared" si="10"/>
        <v>0</v>
      </c>
      <c r="S63" s="29"/>
      <c r="T63" s="25"/>
      <c r="U63" s="25"/>
      <c r="V63" s="30"/>
      <c r="W63" s="30"/>
      <c r="X63" s="51" t="str">
        <f t="shared" ca="1" si="11"/>
        <v/>
      </c>
      <c r="Y63" s="25"/>
      <c r="Z63" s="25"/>
      <c r="AA63" s="51" t="str">
        <f t="shared" ca="1" si="12"/>
        <v/>
      </c>
      <c r="AB63" s="51" t="str">
        <f t="shared" ca="1" si="13"/>
        <v>NON</v>
      </c>
      <c r="AC63" s="51" t="str">
        <f t="shared" si="14"/>
        <v/>
      </c>
      <c r="AD63" s="51" t="str">
        <f>IF(O63&lt;&gt;"",COUNTIFS($O$5:O63,O63),"")</f>
        <v/>
      </c>
      <c r="AE63" s="51" t="str">
        <f t="shared" si="15"/>
        <v/>
      </c>
      <c r="AF63" s="51" t="str">
        <f ca="1">IF(AB63="OUI",COUNTIFS($AB$5:AB63,"OUI"),"")</f>
        <v/>
      </c>
      <c r="AG63" s="51" t="str">
        <f t="shared" ca="1" si="16"/>
        <v/>
      </c>
      <c r="AH63" s="51" t="str">
        <f t="shared" si="17"/>
        <v>NON</v>
      </c>
    </row>
    <row r="64" spans="1:34" x14ac:dyDescent="0.25">
      <c r="A64" s="51" t="str">
        <f t="shared" si="9"/>
        <v>MVT-0060</v>
      </c>
      <c r="B64" s="36"/>
      <c r="C64" s="31"/>
      <c r="D64" s="51" t="str">
        <f>IFERROR(INDEX(#REF!,MATCH(C64,#REF!,0)),"")</f>
        <v/>
      </c>
      <c r="E64" s="51" t="str">
        <f>IFERROR(INDEX(#REF!,MATCH(C64,#REF!,0)),"")</f>
        <v/>
      </c>
      <c r="F64" s="51" t="str">
        <f>IFERROR(INDEX(#REF!,MATCH(C64,#REF!,0)),"")</f>
        <v/>
      </c>
      <c r="G64" s="51" t="str">
        <f>IFERROR(INDEX(#REF!,MATCH(C64,#REF!,0)),"")</f>
        <v/>
      </c>
      <c r="H64" s="51" t="str">
        <f>IFERROR(INDEX(#REF!,MATCH(C64,#REF!,0)),"")</f>
        <v/>
      </c>
      <c r="I64" s="51" t="str">
        <f>IFERROR(INDEX(#REF!,MATCH(C64,#REF!,0)),"")</f>
        <v/>
      </c>
      <c r="J64" s="51" t="str">
        <f>IFERROR(INDEX(#REF!,MATCH(C64,#REF!,0)),"")</f>
        <v/>
      </c>
      <c r="K64" s="51" t="str">
        <f>IFERROR(INDEX(#REF!,MATCH(C64,#REF!,0)),"")</f>
        <v/>
      </c>
      <c r="L64" s="31"/>
      <c r="M64" s="31"/>
      <c r="N64" s="31"/>
      <c r="O64" s="31"/>
      <c r="P64" s="51" t="str">
        <f>IFERROR(INDEX(#REF!,MATCH(O64,#REF!,0)),"")</f>
        <v/>
      </c>
      <c r="Q64" s="51" t="str">
        <f>IFERROR(INDEX(#REF!,MATCH(O64,#REF!,0)),"")</f>
        <v/>
      </c>
      <c r="R64" s="51">
        <f t="shared" si="10"/>
        <v>0</v>
      </c>
      <c r="S64" s="35"/>
      <c r="T64" s="31"/>
      <c r="U64" s="31"/>
      <c r="V64" s="36"/>
      <c r="W64" s="36"/>
      <c r="X64" s="51" t="str">
        <f t="shared" ca="1" si="11"/>
        <v/>
      </c>
      <c r="Y64" s="31"/>
      <c r="Z64" s="31"/>
      <c r="AA64" s="51" t="str">
        <f t="shared" ca="1" si="12"/>
        <v/>
      </c>
      <c r="AB64" s="51" t="str">
        <f t="shared" ca="1" si="13"/>
        <v>NON</v>
      </c>
      <c r="AC64" s="51" t="str">
        <f t="shared" si="14"/>
        <v/>
      </c>
      <c r="AD64" s="51" t="str">
        <f>IF(O64&lt;&gt;"",COUNTIFS($O$5:O64,O64),"")</f>
        <v/>
      </c>
      <c r="AE64" s="51" t="str">
        <f t="shared" si="15"/>
        <v/>
      </c>
      <c r="AF64" s="51" t="str">
        <f ca="1">IF(AB64="OUI",COUNTIFS($AB$5:AB64,"OUI"),"")</f>
        <v/>
      </c>
      <c r="AG64" s="51" t="str">
        <f t="shared" ca="1" si="16"/>
        <v/>
      </c>
      <c r="AH64" s="51" t="str">
        <f t="shared" si="17"/>
        <v>NON</v>
      </c>
    </row>
    <row r="65" spans="1:34" x14ac:dyDescent="0.25">
      <c r="A65" s="51" t="str">
        <f t="shared" si="9"/>
        <v>MVT-0061</v>
      </c>
      <c r="B65" s="30"/>
      <c r="C65" s="25"/>
      <c r="D65" s="51" t="str">
        <f>IFERROR(INDEX(#REF!,MATCH(C65,#REF!,0)),"")</f>
        <v/>
      </c>
      <c r="E65" s="51" t="str">
        <f>IFERROR(INDEX(#REF!,MATCH(C65,#REF!,0)),"")</f>
        <v/>
      </c>
      <c r="F65" s="51" t="str">
        <f>IFERROR(INDEX(#REF!,MATCH(C65,#REF!,0)),"")</f>
        <v/>
      </c>
      <c r="G65" s="51" t="str">
        <f>IFERROR(INDEX(#REF!,MATCH(C65,#REF!,0)),"")</f>
        <v/>
      </c>
      <c r="H65" s="51" t="str">
        <f>IFERROR(INDEX(#REF!,MATCH(C65,#REF!,0)),"")</f>
        <v/>
      </c>
      <c r="I65" s="51" t="str">
        <f>IFERROR(INDEX(#REF!,MATCH(C65,#REF!,0)),"")</f>
        <v/>
      </c>
      <c r="J65" s="51" t="str">
        <f>IFERROR(INDEX(#REF!,MATCH(C65,#REF!,0)),"")</f>
        <v/>
      </c>
      <c r="K65" s="51" t="str">
        <f>IFERROR(INDEX(#REF!,MATCH(C65,#REF!,0)),"")</f>
        <v/>
      </c>
      <c r="L65" s="25"/>
      <c r="M65" s="25"/>
      <c r="N65" s="25"/>
      <c r="O65" s="25"/>
      <c r="P65" s="51" t="str">
        <f>IFERROR(INDEX(#REF!,MATCH(O65,#REF!,0)),"")</f>
        <v/>
      </c>
      <c r="Q65" s="51" t="str">
        <f>IFERROR(INDEX(#REF!,MATCH(O65,#REF!,0)),"")</f>
        <v/>
      </c>
      <c r="R65" s="51">
        <f t="shared" si="10"/>
        <v>0</v>
      </c>
      <c r="S65" s="29"/>
      <c r="T65" s="25"/>
      <c r="U65" s="25"/>
      <c r="V65" s="30"/>
      <c r="W65" s="30"/>
      <c r="X65" s="51" t="str">
        <f t="shared" ca="1" si="11"/>
        <v/>
      </c>
      <c r="Y65" s="25"/>
      <c r="Z65" s="25"/>
      <c r="AA65" s="51" t="str">
        <f t="shared" ca="1" si="12"/>
        <v/>
      </c>
      <c r="AB65" s="51" t="str">
        <f t="shared" ca="1" si="13"/>
        <v>NON</v>
      </c>
      <c r="AC65" s="51" t="str">
        <f t="shared" si="14"/>
        <v/>
      </c>
      <c r="AD65" s="51" t="str">
        <f>IF(O65&lt;&gt;"",COUNTIFS($O$5:O65,O65),"")</f>
        <v/>
      </c>
      <c r="AE65" s="51" t="str">
        <f t="shared" si="15"/>
        <v/>
      </c>
      <c r="AF65" s="51" t="str">
        <f ca="1">IF(AB65="OUI",COUNTIFS($AB$5:AB65,"OUI"),"")</f>
        <v/>
      </c>
      <c r="AG65" s="51" t="str">
        <f t="shared" ca="1" si="16"/>
        <v/>
      </c>
      <c r="AH65" s="51" t="str">
        <f t="shared" si="17"/>
        <v>NON</v>
      </c>
    </row>
    <row r="66" spans="1:34" x14ac:dyDescent="0.25">
      <c r="A66" s="51" t="str">
        <f t="shared" si="9"/>
        <v>MVT-0062</v>
      </c>
      <c r="B66" s="36"/>
      <c r="C66" s="31"/>
      <c r="D66" s="51" t="str">
        <f>IFERROR(INDEX(#REF!,MATCH(C66,#REF!,0)),"")</f>
        <v/>
      </c>
      <c r="E66" s="51" t="str">
        <f>IFERROR(INDEX(#REF!,MATCH(C66,#REF!,0)),"")</f>
        <v/>
      </c>
      <c r="F66" s="51" t="str">
        <f>IFERROR(INDEX(#REF!,MATCH(C66,#REF!,0)),"")</f>
        <v/>
      </c>
      <c r="G66" s="51" t="str">
        <f>IFERROR(INDEX(#REF!,MATCH(C66,#REF!,0)),"")</f>
        <v/>
      </c>
      <c r="H66" s="51" t="str">
        <f>IFERROR(INDEX(#REF!,MATCH(C66,#REF!,0)),"")</f>
        <v/>
      </c>
      <c r="I66" s="51" t="str">
        <f>IFERROR(INDEX(#REF!,MATCH(C66,#REF!,0)),"")</f>
        <v/>
      </c>
      <c r="J66" s="51" t="str">
        <f>IFERROR(INDEX(#REF!,MATCH(C66,#REF!,0)),"")</f>
        <v/>
      </c>
      <c r="K66" s="51" t="str">
        <f>IFERROR(INDEX(#REF!,MATCH(C66,#REF!,0)),"")</f>
        <v/>
      </c>
      <c r="L66" s="31"/>
      <c r="M66" s="31"/>
      <c r="N66" s="31"/>
      <c r="O66" s="31"/>
      <c r="P66" s="51" t="str">
        <f>IFERROR(INDEX(#REF!,MATCH(O66,#REF!,0)),"")</f>
        <v/>
      </c>
      <c r="Q66" s="51" t="str">
        <f>IFERROR(INDEX(#REF!,MATCH(O66,#REF!,0)),"")</f>
        <v/>
      </c>
      <c r="R66" s="51">
        <f t="shared" si="10"/>
        <v>0</v>
      </c>
      <c r="S66" s="35"/>
      <c r="T66" s="31"/>
      <c r="U66" s="31"/>
      <c r="V66" s="36"/>
      <c r="W66" s="36"/>
      <c r="X66" s="51" t="str">
        <f t="shared" ca="1" si="11"/>
        <v/>
      </c>
      <c r="Y66" s="31"/>
      <c r="Z66" s="31"/>
      <c r="AA66" s="51" t="str">
        <f t="shared" ca="1" si="12"/>
        <v/>
      </c>
      <c r="AB66" s="51" t="str">
        <f t="shared" ca="1" si="13"/>
        <v>NON</v>
      </c>
      <c r="AC66" s="51" t="str">
        <f t="shared" si="14"/>
        <v/>
      </c>
      <c r="AD66" s="51" t="str">
        <f>IF(O66&lt;&gt;"",COUNTIFS($O$5:O66,O66),"")</f>
        <v/>
      </c>
      <c r="AE66" s="51" t="str">
        <f t="shared" si="15"/>
        <v/>
      </c>
      <c r="AF66" s="51" t="str">
        <f ca="1">IF(AB66="OUI",COUNTIFS($AB$5:AB66,"OUI"),"")</f>
        <v/>
      </c>
      <c r="AG66" s="51" t="str">
        <f t="shared" ca="1" si="16"/>
        <v/>
      </c>
      <c r="AH66" s="51" t="str">
        <f t="shared" si="17"/>
        <v>NON</v>
      </c>
    </row>
    <row r="67" spans="1:34" x14ac:dyDescent="0.25">
      <c r="A67" s="51" t="str">
        <f t="shared" si="9"/>
        <v>MVT-0063</v>
      </c>
      <c r="B67" s="30"/>
      <c r="C67" s="25"/>
      <c r="D67" s="51" t="str">
        <f>IFERROR(INDEX(#REF!,MATCH(C67,#REF!,0)),"")</f>
        <v/>
      </c>
      <c r="E67" s="51" t="str">
        <f>IFERROR(INDEX(#REF!,MATCH(C67,#REF!,0)),"")</f>
        <v/>
      </c>
      <c r="F67" s="51" t="str">
        <f>IFERROR(INDEX(#REF!,MATCH(C67,#REF!,0)),"")</f>
        <v/>
      </c>
      <c r="G67" s="51" t="str">
        <f>IFERROR(INDEX(#REF!,MATCH(C67,#REF!,0)),"")</f>
        <v/>
      </c>
      <c r="H67" s="51" t="str">
        <f>IFERROR(INDEX(#REF!,MATCH(C67,#REF!,0)),"")</f>
        <v/>
      </c>
      <c r="I67" s="51" t="str">
        <f>IFERROR(INDEX(#REF!,MATCH(C67,#REF!,0)),"")</f>
        <v/>
      </c>
      <c r="J67" s="51" t="str">
        <f>IFERROR(INDEX(#REF!,MATCH(C67,#REF!,0)),"")</f>
        <v/>
      </c>
      <c r="K67" s="51" t="str">
        <f>IFERROR(INDEX(#REF!,MATCH(C67,#REF!,0)),"")</f>
        <v/>
      </c>
      <c r="L67" s="25"/>
      <c r="M67" s="25"/>
      <c r="N67" s="25"/>
      <c r="O67" s="25"/>
      <c r="P67" s="51" t="str">
        <f>IFERROR(INDEX(#REF!,MATCH(O67,#REF!,0)),"")</f>
        <v/>
      </c>
      <c r="Q67" s="51" t="str">
        <f>IFERROR(INDEX(#REF!,MATCH(O67,#REF!,0)),"")</f>
        <v/>
      </c>
      <c r="R67" s="51">
        <f t="shared" si="10"/>
        <v>0</v>
      </c>
      <c r="S67" s="29"/>
      <c r="T67" s="25"/>
      <c r="U67" s="25"/>
      <c r="V67" s="30"/>
      <c r="W67" s="30"/>
      <c r="X67" s="51" t="str">
        <f t="shared" ca="1" si="11"/>
        <v/>
      </c>
      <c r="Y67" s="25"/>
      <c r="Z67" s="25"/>
      <c r="AA67" s="51" t="str">
        <f t="shared" ca="1" si="12"/>
        <v/>
      </c>
      <c r="AB67" s="51" t="str">
        <f t="shared" ca="1" si="13"/>
        <v>NON</v>
      </c>
      <c r="AC67" s="51" t="str">
        <f t="shared" si="14"/>
        <v/>
      </c>
      <c r="AD67" s="51" t="str">
        <f>IF(O67&lt;&gt;"",COUNTIFS($O$5:O67,O67),"")</f>
        <v/>
      </c>
      <c r="AE67" s="51" t="str">
        <f t="shared" si="15"/>
        <v/>
      </c>
      <c r="AF67" s="51" t="str">
        <f ca="1">IF(AB67="OUI",COUNTIFS($AB$5:AB67,"OUI"),"")</f>
        <v/>
      </c>
      <c r="AG67" s="51" t="str">
        <f t="shared" ca="1" si="16"/>
        <v/>
      </c>
      <c r="AH67" s="51" t="str">
        <f t="shared" si="17"/>
        <v>NON</v>
      </c>
    </row>
    <row r="68" spans="1:34" x14ac:dyDescent="0.25">
      <c r="A68" s="51" t="str">
        <f t="shared" si="9"/>
        <v>MVT-0064</v>
      </c>
      <c r="B68" s="36"/>
      <c r="C68" s="31"/>
      <c r="D68" s="51" t="str">
        <f>IFERROR(INDEX(#REF!,MATCH(C68,#REF!,0)),"")</f>
        <v/>
      </c>
      <c r="E68" s="51" t="str">
        <f>IFERROR(INDEX(#REF!,MATCH(C68,#REF!,0)),"")</f>
        <v/>
      </c>
      <c r="F68" s="51" t="str">
        <f>IFERROR(INDEX(#REF!,MATCH(C68,#REF!,0)),"")</f>
        <v/>
      </c>
      <c r="G68" s="51" t="str">
        <f>IFERROR(INDEX(#REF!,MATCH(C68,#REF!,0)),"")</f>
        <v/>
      </c>
      <c r="H68" s="51" t="str">
        <f>IFERROR(INDEX(#REF!,MATCH(C68,#REF!,0)),"")</f>
        <v/>
      </c>
      <c r="I68" s="51" t="str">
        <f>IFERROR(INDEX(#REF!,MATCH(C68,#REF!,0)),"")</f>
        <v/>
      </c>
      <c r="J68" s="51" t="str">
        <f>IFERROR(INDEX(#REF!,MATCH(C68,#REF!,0)),"")</f>
        <v/>
      </c>
      <c r="K68" s="51" t="str">
        <f>IFERROR(INDEX(#REF!,MATCH(C68,#REF!,0)),"")</f>
        <v/>
      </c>
      <c r="L68" s="31"/>
      <c r="M68" s="31"/>
      <c r="N68" s="31"/>
      <c r="O68" s="31"/>
      <c r="P68" s="51" t="str">
        <f>IFERROR(INDEX(#REF!,MATCH(O68,#REF!,0)),"")</f>
        <v/>
      </c>
      <c r="Q68" s="51" t="str">
        <f>IFERROR(INDEX(#REF!,MATCH(O68,#REF!,0)),"")</f>
        <v/>
      </c>
      <c r="R68" s="51">
        <f t="shared" si="10"/>
        <v>0</v>
      </c>
      <c r="S68" s="35"/>
      <c r="T68" s="31"/>
      <c r="U68" s="31"/>
      <c r="V68" s="36"/>
      <c r="W68" s="36"/>
      <c r="X68" s="51" t="str">
        <f t="shared" ca="1" si="11"/>
        <v/>
      </c>
      <c r="Y68" s="31"/>
      <c r="Z68" s="31"/>
      <c r="AA68" s="51" t="str">
        <f t="shared" ca="1" si="12"/>
        <v/>
      </c>
      <c r="AB68" s="51" t="str">
        <f t="shared" ca="1" si="13"/>
        <v>NON</v>
      </c>
      <c r="AC68" s="51" t="str">
        <f t="shared" si="14"/>
        <v/>
      </c>
      <c r="AD68" s="51" t="str">
        <f>IF(O68&lt;&gt;"",COUNTIFS($O$5:O68,O68),"")</f>
        <v/>
      </c>
      <c r="AE68" s="51" t="str">
        <f t="shared" si="15"/>
        <v/>
      </c>
      <c r="AF68" s="51" t="str">
        <f ca="1">IF(AB68="OUI",COUNTIFS($AB$5:AB68,"OUI"),"")</f>
        <v/>
      </c>
      <c r="AG68" s="51" t="str">
        <f t="shared" ca="1" si="16"/>
        <v/>
      </c>
      <c r="AH68" s="51" t="str">
        <f t="shared" si="17"/>
        <v>NON</v>
      </c>
    </row>
    <row r="69" spans="1:34" x14ac:dyDescent="0.25">
      <c r="A69" s="51" t="str">
        <f t="shared" ref="A69:A84" si="18">"MVT-"&amp;TEXT(ROW()-4,"0000")</f>
        <v>MVT-0065</v>
      </c>
      <c r="B69" s="30"/>
      <c r="C69" s="25"/>
      <c r="D69" s="51" t="str">
        <f>IFERROR(INDEX(#REF!,MATCH(C69,#REF!,0)),"")</f>
        <v/>
      </c>
      <c r="E69" s="51" t="str">
        <f>IFERROR(INDEX(#REF!,MATCH(C69,#REF!,0)),"")</f>
        <v/>
      </c>
      <c r="F69" s="51" t="str">
        <f>IFERROR(INDEX(#REF!,MATCH(C69,#REF!,0)),"")</f>
        <v/>
      </c>
      <c r="G69" s="51" t="str">
        <f>IFERROR(INDEX(#REF!,MATCH(C69,#REF!,0)),"")</f>
        <v/>
      </c>
      <c r="H69" s="51" t="str">
        <f>IFERROR(INDEX(#REF!,MATCH(C69,#REF!,0)),"")</f>
        <v/>
      </c>
      <c r="I69" s="51" t="str">
        <f>IFERROR(INDEX(#REF!,MATCH(C69,#REF!,0)),"")</f>
        <v/>
      </c>
      <c r="J69" s="51" t="str">
        <f>IFERROR(INDEX(#REF!,MATCH(C69,#REF!,0)),"")</f>
        <v/>
      </c>
      <c r="K69" s="51" t="str">
        <f>IFERROR(INDEX(#REF!,MATCH(C69,#REF!,0)),"")</f>
        <v/>
      </c>
      <c r="L69" s="25"/>
      <c r="M69" s="25"/>
      <c r="N69" s="25"/>
      <c r="O69" s="25"/>
      <c r="P69" s="51" t="str">
        <f>IFERROR(INDEX(#REF!,MATCH(O69,#REF!,0)),"")</f>
        <v/>
      </c>
      <c r="Q69" s="51" t="str">
        <f>IFERROR(INDEX(#REF!,MATCH(O69,#REF!,0)),"")</f>
        <v/>
      </c>
      <c r="R69" s="51">
        <f t="shared" ref="R69:R84" si="19">O69</f>
        <v>0</v>
      </c>
      <c r="S69" s="29"/>
      <c r="T69" s="25"/>
      <c r="U69" s="25"/>
      <c r="V69" s="30"/>
      <c r="W69" s="30"/>
      <c r="X69" s="51" t="str">
        <f t="shared" ref="X69:X100" ca="1" si="20">IF(W69&lt;&gt;"",W69-B69,IF(B69&lt;&gt;"",TODAY()-B69,""))</f>
        <v/>
      </c>
      <c r="Y69" s="25"/>
      <c r="Z69" s="25"/>
      <c r="AA69" s="51" t="str">
        <f t="shared" ref="AA69:AA84" ca="1" si="21">IF(O69="","",IF(W69&lt;&gt;"",IF(OR(U69="Perdu",U69="Vole",U69="Reforme",U69="En maintenance",U69="En reparation"),U69,"Disponible"),IF(AND(V69&lt;&gt;"",TODAY()&gt;V69),"En retard","Affecte")))</f>
        <v/>
      </c>
      <c r="AB69" s="51" t="str">
        <f t="shared" ref="AB69:AB84" ca="1" si="22">IF(AND(O69&lt;&gt;"",W69="",V69&lt;&gt;"",TODAY()&gt;V69),"OUI","NON")</f>
        <v>NON</v>
      </c>
      <c r="AC69" s="51" t="str">
        <f t="shared" ref="AC69:AC84" si="23">IF(O69&lt;&gt;"",O69&amp;"|"&amp;TEXT(B69,"YYYYMMDD"),"")</f>
        <v/>
      </c>
      <c r="AD69" s="51" t="str">
        <f>IF(O69&lt;&gt;"",COUNTIFS($O$5:O69,O69),"")</f>
        <v/>
      </c>
      <c r="AE69" s="51" t="str">
        <f t="shared" ref="AE69:AE100" si="24">IF(O69&lt;&gt;"",O69&amp;"|R"&amp;AD69,"")</f>
        <v/>
      </c>
      <c r="AF69" s="51" t="str">
        <f ca="1">IF(AB69="OUI",COUNTIFS($AB$5:AB69,"OUI"),"")</f>
        <v/>
      </c>
      <c r="AG69" s="51" t="str">
        <f t="shared" ref="AG69:AG100" ca="1" si="25">IF(AB69="OUI","RETARD|R"&amp;AF69,"")</f>
        <v/>
      </c>
      <c r="AH69" s="51" t="str">
        <f t="shared" ref="AH69:AH84" si="26">IF(AND(O69&lt;&gt;"",W69=""),IF(COUNTIFS($O$5:$O$84,O69,$W$5:$W$84,"")&gt;1,"OUI","NON"),"NON")</f>
        <v>NON</v>
      </c>
    </row>
    <row r="70" spans="1:34" x14ac:dyDescent="0.25">
      <c r="A70" s="51" t="str">
        <f t="shared" si="18"/>
        <v>MVT-0066</v>
      </c>
      <c r="B70" s="36"/>
      <c r="C70" s="31"/>
      <c r="D70" s="51" t="str">
        <f>IFERROR(INDEX(#REF!,MATCH(C70,#REF!,0)),"")</f>
        <v/>
      </c>
      <c r="E70" s="51" t="str">
        <f>IFERROR(INDEX(#REF!,MATCH(C70,#REF!,0)),"")</f>
        <v/>
      </c>
      <c r="F70" s="51" t="str">
        <f>IFERROR(INDEX(#REF!,MATCH(C70,#REF!,0)),"")</f>
        <v/>
      </c>
      <c r="G70" s="51" t="str">
        <f>IFERROR(INDEX(#REF!,MATCH(C70,#REF!,0)),"")</f>
        <v/>
      </c>
      <c r="H70" s="51" t="str">
        <f>IFERROR(INDEX(#REF!,MATCH(C70,#REF!,0)),"")</f>
        <v/>
      </c>
      <c r="I70" s="51" t="str">
        <f>IFERROR(INDEX(#REF!,MATCH(C70,#REF!,0)),"")</f>
        <v/>
      </c>
      <c r="J70" s="51" t="str">
        <f>IFERROR(INDEX(#REF!,MATCH(C70,#REF!,0)),"")</f>
        <v/>
      </c>
      <c r="K70" s="51" t="str">
        <f>IFERROR(INDEX(#REF!,MATCH(C70,#REF!,0)),"")</f>
        <v/>
      </c>
      <c r="L70" s="31"/>
      <c r="M70" s="31"/>
      <c r="N70" s="31"/>
      <c r="O70" s="31"/>
      <c r="P70" s="51" t="str">
        <f>IFERROR(INDEX(#REF!,MATCH(O70,#REF!,0)),"")</f>
        <v/>
      </c>
      <c r="Q70" s="51" t="str">
        <f>IFERROR(INDEX(#REF!,MATCH(O70,#REF!,0)),"")</f>
        <v/>
      </c>
      <c r="R70" s="51">
        <f t="shared" si="19"/>
        <v>0</v>
      </c>
      <c r="S70" s="35"/>
      <c r="T70" s="31"/>
      <c r="U70" s="31"/>
      <c r="V70" s="36"/>
      <c r="W70" s="36"/>
      <c r="X70" s="51" t="str">
        <f t="shared" ca="1" si="20"/>
        <v/>
      </c>
      <c r="Y70" s="31"/>
      <c r="Z70" s="31"/>
      <c r="AA70" s="51" t="str">
        <f t="shared" ca="1" si="21"/>
        <v/>
      </c>
      <c r="AB70" s="51" t="str">
        <f t="shared" ca="1" si="22"/>
        <v>NON</v>
      </c>
      <c r="AC70" s="51" t="str">
        <f t="shared" si="23"/>
        <v/>
      </c>
      <c r="AD70" s="51" t="str">
        <f>IF(O70&lt;&gt;"",COUNTIFS($O$5:O70,O70),"")</f>
        <v/>
      </c>
      <c r="AE70" s="51" t="str">
        <f t="shared" si="24"/>
        <v/>
      </c>
      <c r="AF70" s="51" t="str">
        <f ca="1">IF(AB70="OUI",COUNTIFS($AB$5:AB70,"OUI"),"")</f>
        <v/>
      </c>
      <c r="AG70" s="51" t="str">
        <f t="shared" ca="1" si="25"/>
        <v/>
      </c>
      <c r="AH70" s="51" t="str">
        <f t="shared" si="26"/>
        <v>NON</v>
      </c>
    </row>
    <row r="71" spans="1:34" x14ac:dyDescent="0.25">
      <c r="A71" s="51" t="str">
        <f t="shared" si="18"/>
        <v>MVT-0067</v>
      </c>
      <c r="B71" s="30"/>
      <c r="C71" s="25"/>
      <c r="D71" s="51" t="str">
        <f>IFERROR(INDEX(#REF!,MATCH(C71,#REF!,0)),"")</f>
        <v/>
      </c>
      <c r="E71" s="51" t="str">
        <f>IFERROR(INDEX(#REF!,MATCH(C71,#REF!,0)),"")</f>
        <v/>
      </c>
      <c r="F71" s="51" t="str">
        <f>IFERROR(INDEX(#REF!,MATCH(C71,#REF!,0)),"")</f>
        <v/>
      </c>
      <c r="G71" s="51" t="str">
        <f>IFERROR(INDEX(#REF!,MATCH(C71,#REF!,0)),"")</f>
        <v/>
      </c>
      <c r="H71" s="51" t="str">
        <f>IFERROR(INDEX(#REF!,MATCH(C71,#REF!,0)),"")</f>
        <v/>
      </c>
      <c r="I71" s="51" t="str">
        <f>IFERROR(INDEX(#REF!,MATCH(C71,#REF!,0)),"")</f>
        <v/>
      </c>
      <c r="J71" s="51" t="str">
        <f>IFERROR(INDEX(#REF!,MATCH(C71,#REF!,0)),"")</f>
        <v/>
      </c>
      <c r="K71" s="51" t="str">
        <f>IFERROR(INDEX(#REF!,MATCH(C71,#REF!,0)),"")</f>
        <v/>
      </c>
      <c r="L71" s="25"/>
      <c r="M71" s="25"/>
      <c r="N71" s="25"/>
      <c r="O71" s="25"/>
      <c r="P71" s="51" t="str">
        <f>IFERROR(INDEX(#REF!,MATCH(O71,#REF!,0)),"")</f>
        <v/>
      </c>
      <c r="Q71" s="51" t="str">
        <f>IFERROR(INDEX(#REF!,MATCH(O71,#REF!,0)),"")</f>
        <v/>
      </c>
      <c r="R71" s="51">
        <f t="shared" si="19"/>
        <v>0</v>
      </c>
      <c r="S71" s="29"/>
      <c r="T71" s="25"/>
      <c r="U71" s="25"/>
      <c r="V71" s="30"/>
      <c r="W71" s="30"/>
      <c r="X71" s="51" t="str">
        <f t="shared" ca="1" si="20"/>
        <v/>
      </c>
      <c r="Y71" s="25"/>
      <c r="Z71" s="25"/>
      <c r="AA71" s="51" t="str">
        <f t="shared" ca="1" si="21"/>
        <v/>
      </c>
      <c r="AB71" s="51" t="str">
        <f t="shared" ca="1" si="22"/>
        <v>NON</v>
      </c>
      <c r="AC71" s="51" t="str">
        <f t="shared" si="23"/>
        <v/>
      </c>
      <c r="AD71" s="51" t="str">
        <f>IF(O71&lt;&gt;"",COUNTIFS($O$5:O71,O71),"")</f>
        <v/>
      </c>
      <c r="AE71" s="51" t="str">
        <f t="shared" si="24"/>
        <v/>
      </c>
      <c r="AF71" s="51" t="str">
        <f ca="1">IF(AB71="OUI",COUNTIFS($AB$5:AB71,"OUI"),"")</f>
        <v/>
      </c>
      <c r="AG71" s="51" t="str">
        <f t="shared" ca="1" si="25"/>
        <v/>
      </c>
      <c r="AH71" s="51" t="str">
        <f t="shared" si="26"/>
        <v>NON</v>
      </c>
    </row>
    <row r="72" spans="1:34" x14ac:dyDescent="0.25">
      <c r="A72" s="51" t="str">
        <f t="shared" si="18"/>
        <v>MVT-0068</v>
      </c>
      <c r="B72" s="36"/>
      <c r="C72" s="31"/>
      <c r="D72" s="51" t="str">
        <f>IFERROR(INDEX(#REF!,MATCH(C72,#REF!,0)),"")</f>
        <v/>
      </c>
      <c r="E72" s="51" t="str">
        <f>IFERROR(INDEX(#REF!,MATCH(C72,#REF!,0)),"")</f>
        <v/>
      </c>
      <c r="F72" s="51" t="str">
        <f>IFERROR(INDEX(#REF!,MATCH(C72,#REF!,0)),"")</f>
        <v/>
      </c>
      <c r="G72" s="51" t="str">
        <f>IFERROR(INDEX(#REF!,MATCH(C72,#REF!,0)),"")</f>
        <v/>
      </c>
      <c r="H72" s="51" t="str">
        <f>IFERROR(INDEX(#REF!,MATCH(C72,#REF!,0)),"")</f>
        <v/>
      </c>
      <c r="I72" s="51" t="str">
        <f>IFERROR(INDEX(#REF!,MATCH(C72,#REF!,0)),"")</f>
        <v/>
      </c>
      <c r="J72" s="51" t="str">
        <f>IFERROR(INDEX(#REF!,MATCH(C72,#REF!,0)),"")</f>
        <v/>
      </c>
      <c r="K72" s="51" t="str">
        <f>IFERROR(INDEX(#REF!,MATCH(C72,#REF!,0)),"")</f>
        <v/>
      </c>
      <c r="L72" s="31"/>
      <c r="M72" s="31"/>
      <c r="N72" s="31"/>
      <c r="O72" s="31"/>
      <c r="P72" s="51" t="str">
        <f>IFERROR(INDEX(#REF!,MATCH(O72,#REF!,0)),"")</f>
        <v/>
      </c>
      <c r="Q72" s="51" t="str">
        <f>IFERROR(INDEX(#REF!,MATCH(O72,#REF!,0)),"")</f>
        <v/>
      </c>
      <c r="R72" s="51">
        <f t="shared" si="19"/>
        <v>0</v>
      </c>
      <c r="S72" s="35"/>
      <c r="T72" s="31"/>
      <c r="U72" s="31"/>
      <c r="V72" s="36"/>
      <c r="W72" s="36"/>
      <c r="X72" s="51" t="str">
        <f t="shared" ca="1" si="20"/>
        <v/>
      </c>
      <c r="Y72" s="31"/>
      <c r="Z72" s="31"/>
      <c r="AA72" s="51" t="str">
        <f t="shared" ca="1" si="21"/>
        <v/>
      </c>
      <c r="AB72" s="51" t="str">
        <f t="shared" ca="1" si="22"/>
        <v>NON</v>
      </c>
      <c r="AC72" s="51" t="str">
        <f t="shared" si="23"/>
        <v/>
      </c>
      <c r="AD72" s="51" t="str">
        <f>IF(O72&lt;&gt;"",COUNTIFS($O$5:O72,O72),"")</f>
        <v/>
      </c>
      <c r="AE72" s="51" t="str">
        <f t="shared" si="24"/>
        <v/>
      </c>
      <c r="AF72" s="51" t="str">
        <f ca="1">IF(AB72="OUI",COUNTIFS($AB$5:AB72,"OUI"),"")</f>
        <v/>
      </c>
      <c r="AG72" s="51" t="str">
        <f t="shared" ca="1" si="25"/>
        <v/>
      </c>
      <c r="AH72" s="51" t="str">
        <f t="shared" si="26"/>
        <v>NON</v>
      </c>
    </row>
    <row r="73" spans="1:34" x14ac:dyDescent="0.25">
      <c r="A73" s="51" t="str">
        <f t="shared" si="18"/>
        <v>MVT-0069</v>
      </c>
      <c r="B73" s="30"/>
      <c r="C73" s="25"/>
      <c r="D73" s="51" t="str">
        <f>IFERROR(INDEX(#REF!,MATCH(C73,#REF!,0)),"")</f>
        <v/>
      </c>
      <c r="E73" s="51" t="str">
        <f>IFERROR(INDEX(#REF!,MATCH(C73,#REF!,0)),"")</f>
        <v/>
      </c>
      <c r="F73" s="51" t="str">
        <f>IFERROR(INDEX(#REF!,MATCH(C73,#REF!,0)),"")</f>
        <v/>
      </c>
      <c r="G73" s="51" t="str">
        <f>IFERROR(INDEX(#REF!,MATCH(C73,#REF!,0)),"")</f>
        <v/>
      </c>
      <c r="H73" s="51" t="str">
        <f>IFERROR(INDEX(#REF!,MATCH(C73,#REF!,0)),"")</f>
        <v/>
      </c>
      <c r="I73" s="51" t="str">
        <f>IFERROR(INDEX(#REF!,MATCH(C73,#REF!,0)),"")</f>
        <v/>
      </c>
      <c r="J73" s="51" t="str">
        <f>IFERROR(INDEX(#REF!,MATCH(C73,#REF!,0)),"")</f>
        <v/>
      </c>
      <c r="K73" s="51" t="str">
        <f>IFERROR(INDEX(#REF!,MATCH(C73,#REF!,0)),"")</f>
        <v/>
      </c>
      <c r="L73" s="25"/>
      <c r="M73" s="25"/>
      <c r="N73" s="25"/>
      <c r="O73" s="25"/>
      <c r="P73" s="51" t="str">
        <f>IFERROR(INDEX(#REF!,MATCH(O73,#REF!,0)),"")</f>
        <v/>
      </c>
      <c r="Q73" s="51" t="str">
        <f>IFERROR(INDEX(#REF!,MATCH(O73,#REF!,0)),"")</f>
        <v/>
      </c>
      <c r="R73" s="51">
        <f t="shared" si="19"/>
        <v>0</v>
      </c>
      <c r="S73" s="29"/>
      <c r="T73" s="25"/>
      <c r="U73" s="25"/>
      <c r="V73" s="30"/>
      <c r="W73" s="30"/>
      <c r="X73" s="51" t="str">
        <f t="shared" ca="1" si="20"/>
        <v/>
      </c>
      <c r="Y73" s="25"/>
      <c r="Z73" s="25"/>
      <c r="AA73" s="51" t="str">
        <f t="shared" ca="1" si="21"/>
        <v/>
      </c>
      <c r="AB73" s="51" t="str">
        <f t="shared" ca="1" si="22"/>
        <v>NON</v>
      </c>
      <c r="AC73" s="51" t="str">
        <f t="shared" si="23"/>
        <v/>
      </c>
      <c r="AD73" s="51" t="str">
        <f>IF(O73&lt;&gt;"",COUNTIFS($O$5:O73,O73),"")</f>
        <v/>
      </c>
      <c r="AE73" s="51" t="str">
        <f t="shared" si="24"/>
        <v/>
      </c>
      <c r="AF73" s="51" t="str">
        <f ca="1">IF(AB73="OUI",COUNTIFS($AB$5:AB73,"OUI"),"")</f>
        <v/>
      </c>
      <c r="AG73" s="51" t="str">
        <f t="shared" ca="1" si="25"/>
        <v/>
      </c>
      <c r="AH73" s="51" t="str">
        <f t="shared" si="26"/>
        <v>NON</v>
      </c>
    </row>
    <row r="74" spans="1:34" x14ac:dyDescent="0.25">
      <c r="A74" s="51" t="str">
        <f t="shared" si="18"/>
        <v>MVT-0070</v>
      </c>
      <c r="B74" s="36"/>
      <c r="C74" s="31"/>
      <c r="D74" s="51" t="str">
        <f>IFERROR(INDEX(#REF!,MATCH(C74,#REF!,0)),"")</f>
        <v/>
      </c>
      <c r="E74" s="51" t="str">
        <f>IFERROR(INDEX(#REF!,MATCH(C74,#REF!,0)),"")</f>
        <v/>
      </c>
      <c r="F74" s="51" t="str">
        <f>IFERROR(INDEX(#REF!,MATCH(C74,#REF!,0)),"")</f>
        <v/>
      </c>
      <c r="G74" s="51" t="str">
        <f>IFERROR(INDEX(#REF!,MATCH(C74,#REF!,0)),"")</f>
        <v/>
      </c>
      <c r="H74" s="51" t="str">
        <f>IFERROR(INDEX(#REF!,MATCH(C74,#REF!,0)),"")</f>
        <v/>
      </c>
      <c r="I74" s="51" t="str">
        <f>IFERROR(INDEX(#REF!,MATCH(C74,#REF!,0)),"")</f>
        <v/>
      </c>
      <c r="J74" s="51" t="str">
        <f>IFERROR(INDEX(#REF!,MATCH(C74,#REF!,0)),"")</f>
        <v/>
      </c>
      <c r="K74" s="51" t="str">
        <f>IFERROR(INDEX(#REF!,MATCH(C74,#REF!,0)),"")</f>
        <v/>
      </c>
      <c r="L74" s="31"/>
      <c r="M74" s="31"/>
      <c r="N74" s="31"/>
      <c r="O74" s="31"/>
      <c r="P74" s="51" t="str">
        <f>IFERROR(INDEX(#REF!,MATCH(O74,#REF!,0)),"")</f>
        <v/>
      </c>
      <c r="Q74" s="51" t="str">
        <f>IFERROR(INDEX(#REF!,MATCH(O74,#REF!,0)),"")</f>
        <v/>
      </c>
      <c r="R74" s="51">
        <f t="shared" si="19"/>
        <v>0</v>
      </c>
      <c r="S74" s="35"/>
      <c r="T74" s="31"/>
      <c r="U74" s="31"/>
      <c r="V74" s="36"/>
      <c r="W74" s="36"/>
      <c r="X74" s="51" t="str">
        <f t="shared" ca="1" si="20"/>
        <v/>
      </c>
      <c r="Y74" s="31"/>
      <c r="Z74" s="31"/>
      <c r="AA74" s="51" t="str">
        <f t="shared" ca="1" si="21"/>
        <v/>
      </c>
      <c r="AB74" s="51" t="str">
        <f t="shared" ca="1" si="22"/>
        <v>NON</v>
      </c>
      <c r="AC74" s="51" t="str">
        <f t="shared" si="23"/>
        <v/>
      </c>
      <c r="AD74" s="51" t="str">
        <f>IF(O74&lt;&gt;"",COUNTIFS($O$5:O74,O74),"")</f>
        <v/>
      </c>
      <c r="AE74" s="51" t="str">
        <f t="shared" si="24"/>
        <v/>
      </c>
      <c r="AF74" s="51" t="str">
        <f ca="1">IF(AB74="OUI",COUNTIFS($AB$5:AB74,"OUI"),"")</f>
        <v/>
      </c>
      <c r="AG74" s="51" t="str">
        <f t="shared" ca="1" si="25"/>
        <v/>
      </c>
      <c r="AH74" s="51" t="str">
        <f t="shared" si="26"/>
        <v>NON</v>
      </c>
    </row>
    <row r="75" spans="1:34" x14ac:dyDescent="0.25">
      <c r="A75" s="51" t="str">
        <f t="shared" si="18"/>
        <v>MVT-0071</v>
      </c>
      <c r="B75" s="30"/>
      <c r="C75" s="25"/>
      <c r="D75" s="51" t="str">
        <f>IFERROR(INDEX(#REF!,MATCH(C75,#REF!,0)),"")</f>
        <v/>
      </c>
      <c r="E75" s="51" t="str">
        <f>IFERROR(INDEX(#REF!,MATCH(C75,#REF!,0)),"")</f>
        <v/>
      </c>
      <c r="F75" s="51" t="str">
        <f>IFERROR(INDEX(#REF!,MATCH(C75,#REF!,0)),"")</f>
        <v/>
      </c>
      <c r="G75" s="51" t="str">
        <f>IFERROR(INDEX(#REF!,MATCH(C75,#REF!,0)),"")</f>
        <v/>
      </c>
      <c r="H75" s="51" t="str">
        <f>IFERROR(INDEX(#REF!,MATCH(C75,#REF!,0)),"")</f>
        <v/>
      </c>
      <c r="I75" s="51" t="str">
        <f>IFERROR(INDEX(#REF!,MATCH(C75,#REF!,0)),"")</f>
        <v/>
      </c>
      <c r="J75" s="51" t="str">
        <f>IFERROR(INDEX(#REF!,MATCH(C75,#REF!,0)),"")</f>
        <v/>
      </c>
      <c r="K75" s="51" t="str">
        <f>IFERROR(INDEX(#REF!,MATCH(C75,#REF!,0)),"")</f>
        <v/>
      </c>
      <c r="L75" s="25"/>
      <c r="M75" s="25"/>
      <c r="N75" s="25"/>
      <c r="O75" s="25"/>
      <c r="P75" s="51" t="str">
        <f>IFERROR(INDEX(#REF!,MATCH(O75,#REF!,0)),"")</f>
        <v/>
      </c>
      <c r="Q75" s="51" t="str">
        <f>IFERROR(INDEX(#REF!,MATCH(O75,#REF!,0)),"")</f>
        <v/>
      </c>
      <c r="R75" s="51">
        <f t="shared" si="19"/>
        <v>0</v>
      </c>
      <c r="S75" s="29"/>
      <c r="T75" s="25"/>
      <c r="U75" s="25"/>
      <c r="V75" s="30"/>
      <c r="W75" s="30"/>
      <c r="X75" s="51" t="str">
        <f t="shared" ca="1" si="20"/>
        <v/>
      </c>
      <c r="Y75" s="25"/>
      <c r="Z75" s="25"/>
      <c r="AA75" s="51" t="str">
        <f t="shared" ca="1" si="21"/>
        <v/>
      </c>
      <c r="AB75" s="51" t="str">
        <f t="shared" ca="1" si="22"/>
        <v>NON</v>
      </c>
      <c r="AC75" s="51" t="str">
        <f t="shared" si="23"/>
        <v/>
      </c>
      <c r="AD75" s="51" t="str">
        <f>IF(O75&lt;&gt;"",COUNTIFS($O$5:O75,O75),"")</f>
        <v/>
      </c>
      <c r="AE75" s="51" t="str">
        <f t="shared" si="24"/>
        <v/>
      </c>
      <c r="AF75" s="51" t="str">
        <f ca="1">IF(AB75="OUI",COUNTIFS($AB$5:AB75,"OUI"),"")</f>
        <v/>
      </c>
      <c r="AG75" s="51" t="str">
        <f t="shared" ca="1" si="25"/>
        <v/>
      </c>
      <c r="AH75" s="51" t="str">
        <f t="shared" si="26"/>
        <v>NON</v>
      </c>
    </row>
    <row r="76" spans="1:34" x14ac:dyDescent="0.25">
      <c r="A76" s="51" t="str">
        <f t="shared" si="18"/>
        <v>MVT-0072</v>
      </c>
      <c r="B76" s="36"/>
      <c r="C76" s="31"/>
      <c r="D76" s="51" t="str">
        <f>IFERROR(INDEX(#REF!,MATCH(C76,#REF!,0)),"")</f>
        <v/>
      </c>
      <c r="E76" s="51" t="str">
        <f>IFERROR(INDEX(#REF!,MATCH(C76,#REF!,0)),"")</f>
        <v/>
      </c>
      <c r="F76" s="51" t="str">
        <f>IFERROR(INDEX(#REF!,MATCH(C76,#REF!,0)),"")</f>
        <v/>
      </c>
      <c r="G76" s="51" t="str">
        <f>IFERROR(INDEX(#REF!,MATCH(C76,#REF!,0)),"")</f>
        <v/>
      </c>
      <c r="H76" s="51" t="str">
        <f>IFERROR(INDEX(#REF!,MATCH(C76,#REF!,0)),"")</f>
        <v/>
      </c>
      <c r="I76" s="51" t="str">
        <f>IFERROR(INDEX(#REF!,MATCH(C76,#REF!,0)),"")</f>
        <v/>
      </c>
      <c r="J76" s="51" t="str">
        <f>IFERROR(INDEX(#REF!,MATCH(C76,#REF!,0)),"")</f>
        <v/>
      </c>
      <c r="K76" s="51" t="str">
        <f>IFERROR(INDEX(#REF!,MATCH(C76,#REF!,0)),"")</f>
        <v/>
      </c>
      <c r="L76" s="31"/>
      <c r="M76" s="31"/>
      <c r="N76" s="31"/>
      <c r="O76" s="31"/>
      <c r="P76" s="51" t="str">
        <f>IFERROR(INDEX(#REF!,MATCH(O76,#REF!,0)),"")</f>
        <v/>
      </c>
      <c r="Q76" s="51" t="str">
        <f>IFERROR(INDEX(#REF!,MATCH(O76,#REF!,0)),"")</f>
        <v/>
      </c>
      <c r="R76" s="51">
        <f t="shared" si="19"/>
        <v>0</v>
      </c>
      <c r="S76" s="35"/>
      <c r="T76" s="31"/>
      <c r="U76" s="31"/>
      <c r="V76" s="36"/>
      <c r="W76" s="36"/>
      <c r="X76" s="51" t="str">
        <f t="shared" ca="1" si="20"/>
        <v/>
      </c>
      <c r="Y76" s="31"/>
      <c r="Z76" s="31"/>
      <c r="AA76" s="51" t="str">
        <f t="shared" ca="1" si="21"/>
        <v/>
      </c>
      <c r="AB76" s="51" t="str">
        <f t="shared" ca="1" si="22"/>
        <v>NON</v>
      </c>
      <c r="AC76" s="51" t="str">
        <f t="shared" si="23"/>
        <v/>
      </c>
      <c r="AD76" s="51" t="str">
        <f>IF(O76&lt;&gt;"",COUNTIFS($O$5:O76,O76),"")</f>
        <v/>
      </c>
      <c r="AE76" s="51" t="str">
        <f t="shared" si="24"/>
        <v/>
      </c>
      <c r="AF76" s="51" t="str">
        <f ca="1">IF(AB76="OUI",COUNTIFS($AB$5:AB76,"OUI"),"")</f>
        <v/>
      </c>
      <c r="AG76" s="51" t="str">
        <f t="shared" ca="1" si="25"/>
        <v/>
      </c>
      <c r="AH76" s="51" t="str">
        <f t="shared" si="26"/>
        <v>NON</v>
      </c>
    </row>
    <row r="77" spans="1:34" x14ac:dyDescent="0.25">
      <c r="A77" s="51" t="str">
        <f t="shared" si="18"/>
        <v>MVT-0073</v>
      </c>
      <c r="B77" s="30"/>
      <c r="C77" s="25"/>
      <c r="D77" s="51" t="str">
        <f>IFERROR(INDEX(#REF!,MATCH(C77,#REF!,0)),"")</f>
        <v/>
      </c>
      <c r="E77" s="51" t="str">
        <f>IFERROR(INDEX(#REF!,MATCH(C77,#REF!,0)),"")</f>
        <v/>
      </c>
      <c r="F77" s="51" t="str">
        <f>IFERROR(INDEX(#REF!,MATCH(C77,#REF!,0)),"")</f>
        <v/>
      </c>
      <c r="G77" s="51" t="str">
        <f>IFERROR(INDEX(#REF!,MATCH(C77,#REF!,0)),"")</f>
        <v/>
      </c>
      <c r="H77" s="51" t="str">
        <f>IFERROR(INDEX(#REF!,MATCH(C77,#REF!,0)),"")</f>
        <v/>
      </c>
      <c r="I77" s="51" t="str">
        <f>IFERROR(INDEX(#REF!,MATCH(C77,#REF!,0)),"")</f>
        <v/>
      </c>
      <c r="J77" s="51" t="str">
        <f>IFERROR(INDEX(#REF!,MATCH(C77,#REF!,0)),"")</f>
        <v/>
      </c>
      <c r="K77" s="51" t="str">
        <f>IFERROR(INDEX(#REF!,MATCH(C77,#REF!,0)),"")</f>
        <v/>
      </c>
      <c r="L77" s="25"/>
      <c r="M77" s="25"/>
      <c r="N77" s="25"/>
      <c r="O77" s="25"/>
      <c r="P77" s="51" t="str">
        <f>IFERROR(INDEX(#REF!,MATCH(O77,#REF!,0)),"")</f>
        <v/>
      </c>
      <c r="Q77" s="51" t="str">
        <f>IFERROR(INDEX(#REF!,MATCH(O77,#REF!,0)),"")</f>
        <v/>
      </c>
      <c r="R77" s="51">
        <f t="shared" si="19"/>
        <v>0</v>
      </c>
      <c r="S77" s="29"/>
      <c r="T77" s="25"/>
      <c r="U77" s="25"/>
      <c r="V77" s="30"/>
      <c r="W77" s="30"/>
      <c r="X77" s="51" t="str">
        <f t="shared" ca="1" si="20"/>
        <v/>
      </c>
      <c r="Y77" s="25"/>
      <c r="Z77" s="25"/>
      <c r="AA77" s="51" t="str">
        <f t="shared" ca="1" si="21"/>
        <v/>
      </c>
      <c r="AB77" s="51" t="str">
        <f t="shared" ca="1" si="22"/>
        <v>NON</v>
      </c>
      <c r="AC77" s="51" t="str">
        <f t="shared" si="23"/>
        <v/>
      </c>
      <c r="AD77" s="51" t="str">
        <f>IF(O77&lt;&gt;"",COUNTIFS($O$5:O77,O77),"")</f>
        <v/>
      </c>
      <c r="AE77" s="51" t="str">
        <f t="shared" si="24"/>
        <v/>
      </c>
      <c r="AF77" s="51" t="str">
        <f ca="1">IF(AB77="OUI",COUNTIFS($AB$5:AB77,"OUI"),"")</f>
        <v/>
      </c>
      <c r="AG77" s="51" t="str">
        <f t="shared" ca="1" si="25"/>
        <v/>
      </c>
      <c r="AH77" s="51" t="str">
        <f t="shared" si="26"/>
        <v>NON</v>
      </c>
    </row>
    <row r="78" spans="1:34" x14ac:dyDescent="0.25">
      <c r="A78" s="51" t="str">
        <f t="shared" si="18"/>
        <v>MVT-0074</v>
      </c>
      <c r="B78" s="36"/>
      <c r="C78" s="31"/>
      <c r="D78" s="51" t="str">
        <f>IFERROR(INDEX(#REF!,MATCH(C78,#REF!,0)),"")</f>
        <v/>
      </c>
      <c r="E78" s="51" t="str">
        <f>IFERROR(INDEX(#REF!,MATCH(C78,#REF!,0)),"")</f>
        <v/>
      </c>
      <c r="F78" s="51" t="str">
        <f>IFERROR(INDEX(#REF!,MATCH(C78,#REF!,0)),"")</f>
        <v/>
      </c>
      <c r="G78" s="51" t="str">
        <f>IFERROR(INDEX(#REF!,MATCH(C78,#REF!,0)),"")</f>
        <v/>
      </c>
      <c r="H78" s="51" t="str">
        <f>IFERROR(INDEX(#REF!,MATCH(C78,#REF!,0)),"")</f>
        <v/>
      </c>
      <c r="I78" s="51" t="str">
        <f>IFERROR(INDEX(#REF!,MATCH(C78,#REF!,0)),"")</f>
        <v/>
      </c>
      <c r="J78" s="51" t="str">
        <f>IFERROR(INDEX(#REF!,MATCH(C78,#REF!,0)),"")</f>
        <v/>
      </c>
      <c r="K78" s="51" t="str">
        <f>IFERROR(INDEX(#REF!,MATCH(C78,#REF!,0)),"")</f>
        <v/>
      </c>
      <c r="L78" s="31"/>
      <c r="M78" s="31"/>
      <c r="N78" s="31"/>
      <c r="O78" s="31"/>
      <c r="P78" s="51" t="str">
        <f>IFERROR(INDEX(#REF!,MATCH(O78,#REF!,0)),"")</f>
        <v/>
      </c>
      <c r="Q78" s="51" t="str">
        <f>IFERROR(INDEX(#REF!,MATCH(O78,#REF!,0)),"")</f>
        <v/>
      </c>
      <c r="R78" s="51">
        <f t="shared" si="19"/>
        <v>0</v>
      </c>
      <c r="S78" s="35"/>
      <c r="T78" s="31"/>
      <c r="U78" s="31"/>
      <c r="V78" s="36"/>
      <c r="W78" s="36"/>
      <c r="X78" s="51" t="str">
        <f t="shared" ca="1" si="20"/>
        <v/>
      </c>
      <c r="Y78" s="31"/>
      <c r="Z78" s="31"/>
      <c r="AA78" s="51" t="str">
        <f t="shared" ca="1" si="21"/>
        <v/>
      </c>
      <c r="AB78" s="51" t="str">
        <f t="shared" ca="1" si="22"/>
        <v>NON</v>
      </c>
      <c r="AC78" s="51" t="str">
        <f t="shared" si="23"/>
        <v/>
      </c>
      <c r="AD78" s="51" t="str">
        <f>IF(O78&lt;&gt;"",COUNTIFS($O$5:O78,O78),"")</f>
        <v/>
      </c>
      <c r="AE78" s="51" t="str">
        <f t="shared" si="24"/>
        <v/>
      </c>
      <c r="AF78" s="51" t="str">
        <f ca="1">IF(AB78="OUI",COUNTIFS($AB$5:AB78,"OUI"),"")</f>
        <v/>
      </c>
      <c r="AG78" s="51" t="str">
        <f t="shared" ca="1" si="25"/>
        <v/>
      </c>
      <c r="AH78" s="51" t="str">
        <f t="shared" si="26"/>
        <v>NON</v>
      </c>
    </row>
    <row r="79" spans="1:34" x14ac:dyDescent="0.25">
      <c r="A79" s="51" t="str">
        <f t="shared" si="18"/>
        <v>MVT-0075</v>
      </c>
      <c r="B79" s="30"/>
      <c r="C79" s="25"/>
      <c r="D79" s="51" t="str">
        <f>IFERROR(INDEX(#REF!,MATCH(C79,#REF!,0)),"")</f>
        <v/>
      </c>
      <c r="E79" s="51" t="str">
        <f>IFERROR(INDEX(#REF!,MATCH(C79,#REF!,0)),"")</f>
        <v/>
      </c>
      <c r="F79" s="51" t="str">
        <f>IFERROR(INDEX(#REF!,MATCH(C79,#REF!,0)),"")</f>
        <v/>
      </c>
      <c r="G79" s="51" t="str">
        <f>IFERROR(INDEX(#REF!,MATCH(C79,#REF!,0)),"")</f>
        <v/>
      </c>
      <c r="H79" s="51" t="str">
        <f>IFERROR(INDEX(#REF!,MATCH(C79,#REF!,0)),"")</f>
        <v/>
      </c>
      <c r="I79" s="51" t="str">
        <f>IFERROR(INDEX(#REF!,MATCH(C79,#REF!,0)),"")</f>
        <v/>
      </c>
      <c r="J79" s="51" t="str">
        <f>IFERROR(INDEX(#REF!,MATCH(C79,#REF!,0)),"")</f>
        <v/>
      </c>
      <c r="K79" s="51" t="str">
        <f>IFERROR(INDEX(#REF!,MATCH(C79,#REF!,0)),"")</f>
        <v/>
      </c>
      <c r="L79" s="25"/>
      <c r="M79" s="25"/>
      <c r="N79" s="25"/>
      <c r="O79" s="25"/>
      <c r="P79" s="51" t="str">
        <f>IFERROR(INDEX(#REF!,MATCH(O79,#REF!,0)),"")</f>
        <v/>
      </c>
      <c r="Q79" s="51" t="str">
        <f>IFERROR(INDEX(#REF!,MATCH(O79,#REF!,0)),"")</f>
        <v/>
      </c>
      <c r="R79" s="51">
        <f t="shared" si="19"/>
        <v>0</v>
      </c>
      <c r="S79" s="29"/>
      <c r="T79" s="25"/>
      <c r="U79" s="25"/>
      <c r="V79" s="30"/>
      <c r="W79" s="30"/>
      <c r="X79" s="51" t="str">
        <f t="shared" ca="1" si="20"/>
        <v/>
      </c>
      <c r="Y79" s="25"/>
      <c r="Z79" s="25"/>
      <c r="AA79" s="51" t="str">
        <f t="shared" ca="1" si="21"/>
        <v/>
      </c>
      <c r="AB79" s="51" t="str">
        <f t="shared" ca="1" si="22"/>
        <v>NON</v>
      </c>
      <c r="AC79" s="51" t="str">
        <f t="shared" si="23"/>
        <v/>
      </c>
      <c r="AD79" s="51" t="str">
        <f>IF(O79&lt;&gt;"",COUNTIFS($O$5:O79,O79),"")</f>
        <v/>
      </c>
      <c r="AE79" s="51" t="str">
        <f t="shared" si="24"/>
        <v/>
      </c>
      <c r="AF79" s="51" t="str">
        <f ca="1">IF(AB79="OUI",COUNTIFS($AB$5:AB79,"OUI"),"")</f>
        <v/>
      </c>
      <c r="AG79" s="51" t="str">
        <f t="shared" ca="1" si="25"/>
        <v/>
      </c>
      <c r="AH79" s="51" t="str">
        <f t="shared" si="26"/>
        <v>NON</v>
      </c>
    </row>
    <row r="80" spans="1:34" x14ac:dyDescent="0.25">
      <c r="A80" s="51" t="str">
        <f t="shared" si="18"/>
        <v>MVT-0076</v>
      </c>
      <c r="B80" s="36"/>
      <c r="C80" s="31"/>
      <c r="D80" s="51" t="str">
        <f>IFERROR(INDEX(#REF!,MATCH(C80,#REF!,0)),"")</f>
        <v/>
      </c>
      <c r="E80" s="51" t="str">
        <f>IFERROR(INDEX(#REF!,MATCH(C80,#REF!,0)),"")</f>
        <v/>
      </c>
      <c r="F80" s="51" t="str">
        <f>IFERROR(INDEX(#REF!,MATCH(C80,#REF!,0)),"")</f>
        <v/>
      </c>
      <c r="G80" s="51" t="str">
        <f>IFERROR(INDEX(#REF!,MATCH(C80,#REF!,0)),"")</f>
        <v/>
      </c>
      <c r="H80" s="51" t="str">
        <f>IFERROR(INDEX(#REF!,MATCH(C80,#REF!,0)),"")</f>
        <v/>
      </c>
      <c r="I80" s="51" t="str">
        <f>IFERROR(INDEX(#REF!,MATCH(C80,#REF!,0)),"")</f>
        <v/>
      </c>
      <c r="J80" s="51" t="str">
        <f>IFERROR(INDEX(#REF!,MATCH(C80,#REF!,0)),"")</f>
        <v/>
      </c>
      <c r="K80" s="51" t="str">
        <f>IFERROR(INDEX(#REF!,MATCH(C80,#REF!,0)),"")</f>
        <v/>
      </c>
      <c r="L80" s="31"/>
      <c r="M80" s="31"/>
      <c r="N80" s="31"/>
      <c r="O80" s="31"/>
      <c r="P80" s="51" t="str">
        <f>IFERROR(INDEX(#REF!,MATCH(O80,#REF!,0)),"")</f>
        <v/>
      </c>
      <c r="Q80" s="51" t="str">
        <f>IFERROR(INDEX(#REF!,MATCH(O80,#REF!,0)),"")</f>
        <v/>
      </c>
      <c r="R80" s="51">
        <f t="shared" si="19"/>
        <v>0</v>
      </c>
      <c r="S80" s="35"/>
      <c r="T80" s="31"/>
      <c r="U80" s="31"/>
      <c r="V80" s="36"/>
      <c r="W80" s="36"/>
      <c r="X80" s="51" t="str">
        <f t="shared" ca="1" si="20"/>
        <v/>
      </c>
      <c r="Y80" s="31"/>
      <c r="Z80" s="31"/>
      <c r="AA80" s="51" t="str">
        <f t="shared" ca="1" si="21"/>
        <v/>
      </c>
      <c r="AB80" s="51" t="str">
        <f t="shared" ca="1" si="22"/>
        <v>NON</v>
      </c>
      <c r="AC80" s="51" t="str">
        <f t="shared" si="23"/>
        <v/>
      </c>
      <c r="AD80" s="51" t="str">
        <f>IF(O80&lt;&gt;"",COUNTIFS($O$5:O80,O80),"")</f>
        <v/>
      </c>
      <c r="AE80" s="51" t="str">
        <f t="shared" si="24"/>
        <v/>
      </c>
      <c r="AF80" s="51" t="str">
        <f ca="1">IF(AB80="OUI",COUNTIFS($AB$5:AB80,"OUI"),"")</f>
        <v/>
      </c>
      <c r="AG80" s="51" t="str">
        <f t="shared" ca="1" si="25"/>
        <v/>
      </c>
      <c r="AH80" s="51" t="str">
        <f t="shared" si="26"/>
        <v>NON</v>
      </c>
    </row>
    <row r="81" spans="1:34" x14ac:dyDescent="0.25">
      <c r="A81" s="51" t="str">
        <f t="shared" si="18"/>
        <v>MVT-0077</v>
      </c>
      <c r="B81" s="30"/>
      <c r="C81" s="25"/>
      <c r="D81" s="51" t="str">
        <f>IFERROR(INDEX(#REF!,MATCH(C81,#REF!,0)),"")</f>
        <v/>
      </c>
      <c r="E81" s="51" t="str">
        <f>IFERROR(INDEX(#REF!,MATCH(C81,#REF!,0)),"")</f>
        <v/>
      </c>
      <c r="F81" s="51" t="str">
        <f>IFERROR(INDEX(#REF!,MATCH(C81,#REF!,0)),"")</f>
        <v/>
      </c>
      <c r="G81" s="51" t="str">
        <f>IFERROR(INDEX(#REF!,MATCH(C81,#REF!,0)),"")</f>
        <v/>
      </c>
      <c r="H81" s="51" t="str">
        <f>IFERROR(INDEX(#REF!,MATCH(C81,#REF!,0)),"")</f>
        <v/>
      </c>
      <c r="I81" s="51" t="str">
        <f>IFERROR(INDEX(#REF!,MATCH(C81,#REF!,0)),"")</f>
        <v/>
      </c>
      <c r="J81" s="51" t="str">
        <f>IFERROR(INDEX(#REF!,MATCH(C81,#REF!,0)),"")</f>
        <v/>
      </c>
      <c r="K81" s="51" t="str">
        <f>IFERROR(INDEX(#REF!,MATCH(C81,#REF!,0)),"")</f>
        <v/>
      </c>
      <c r="L81" s="25"/>
      <c r="M81" s="25"/>
      <c r="N81" s="25"/>
      <c r="O81" s="25"/>
      <c r="P81" s="51" t="str">
        <f>IFERROR(INDEX(#REF!,MATCH(O81,#REF!,0)),"")</f>
        <v/>
      </c>
      <c r="Q81" s="51" t="str">
        <f>IFERROR(INDEX(#REF!,MATCH(O81,#REF!,0)),"")</f>
        <v/>
      </c>
      <c r="R81" s="51">
        <f t="shared" si="19"/>
        <v>0</v>
      </c>
      <c r="S81" s="29"/>
      <c r="T81" s="25"/>
      <c r="U81" s="25"/>
      <c r="V81" s="30"/>
      <c r="W81" s="30"/>
      <c r="X81" s="51" t="str">
        <f t="shared" ca="1" si="20"/>
        <v/>
      </c>
      <c r="Y81" s="25"/>
      <c r="Z81" s="25"/>
      <c r="AA81" s="51" t="str">
        <f t="shared" ca="1" si="21"/>
        <v/>
      </c>
      <c r="AB81" s="51" t="str">
        <f t="shared" ca="1" si="22"/>
        <v>NON</v>
      </c>
      <c r="AC81" s="51" t="str">
        <f t="shared" si="23"/>
        <v/>
      </c>
      <c r="AD81" s="51" t="str">
        <f>IF(O81&lt;&gt;"",COUNTIFS($O$5:O81,O81),"")</f>
        <v/>
      </c>
      <c r="AE81" s="51" t="str">
        <f t="shared" si="24"/>
        <v/>
      </c>
      <c r="AF81" s="51" t="str">
        <f ca="1">IF(AB81="OUI",COUNTIFS($AB$5:AB81,"OUI"),"")</f>
        <v/>
      </c>
      <c r="AG81" s="51" t="str">
        <f t="shared" ca="1" si="25"/>
        <v/>
      </c>
      <c r="AH81" s="51" t="str">
        <f t="shared" si="26"/>
        <v>NON</v>
      </c>
    </row>
    <row r="82" spans="1:34" x14ac:dyDescent="0.25">
      <c r="A82" s="51" t="str">
        <f t="shared" si="18"/>
        <v>MVT-0078</v>
      </c>
      <c r="B82" s="36"/>
      <c r="C82" s="31"/>
      <c r="D82" s="51" t="str">
        <f>IFERROR(INDEX(#REF!,MATCH(C82,#REF!,0)),"")</f>
        <v/>
      </c>
      <c r="E82" s="51" t="str">
        <f>IFERROR(INDEX(#REF!,MATCH(C82,#REF!,0)),"")</f>
        <v/>
      </c>
      <c r="F82" s="51" t="str">
        <f>IFERROR(INDEX(#REF!,MATCH(C82,#REF!,0)),"")</f>
        <v/>
      </c>
      <c r="G82" s="51" t="str">
        <f>IFERROR(INDEX(#REF!,MATCH(C82,#REF!,0)),"")</f>
        <v/>
      </c>
      <c r="H82" s="51" t="str">
        <f>IFERROR(INDEX(#REF!,MATCH(C82,#REF!,0)),"")</f>
        <v/>
      </c>
      <c r="I82" s="51" t="str">
        <f>IFERROR(INDEX(#REF!,MATCH(C82,#REF!,0)),"")</f>
        <v/>
      </c>
      <c r="J82" s="51" t="str">
        <f>IFERROR(INDEX(#REF!,MATCH(C82,#REF!,0)),"")</f>
        <v/>
      </c>
      <c r="K82" s="51" t="str">
        <f>IFERROR(INDEX(#REF!,MATCH(C82,#REF!,0)),"")</f>
        <v/>
      </c>
      <c r="L82" s="31"/>
      <c r="M82" s="31"/>
      <c r="N82" s="31"/>
      <c r="O82" s="31"/>
      <c r="P82" s="51" t="str">
        <f>IFERROR(INDEX(#REF!,MATCH(O82,#REF!,0)),"")</f>
        <v/>
      </c>
      <c r="Q82" s="51" t="str">
        <f>IFERROR(INDEX(#REF!,MATCH(O82,#REF!,0)),"")</f>
        <v/>
      </c>
      <c r="R82" s="51">
        <f t="shared" si="19"/>
        <v>0</v>
      </c>
      <c r="S82" s="35"/>
      <c r="T82" s="31"/>
      <c r="U82" s="31"/>
      <c r="V82" s="36"/>
      <c r="W82" s="36"/>
      <c r="X82" s="51" t="str">
        <f t="shared" ca="1" si="20"/>
        <v/>
      </c>
      <c r="Y82" s="31"/>
      <c r="Z82" s="31"/>
      <c r="AA82" s="51" t="str">
        <f t="shared" ca="1" si="21"/>
        <v/>
      </c>
      <c r="AB82" s="51" t="str">
        <f t="shared" ca="1" si="22"/>
        <v>NON</v>
      </c>
      <c r="AC82" s="51" t="str">
        <f t="shared" si="23"/>
        <v/>
      </c>
      <c r="AD82" s="51" t="str">
        <f>IF(O82&lt;&gt;"",COUNTIFS($O$5:O82,O82),"")</f>
        <v/>
      </c>
      <c r="AE82" s="51" t="str">
        <f t="shared" si="24"/>
        <v/>
      </c>
      <c r="AF82" s="51" t="str">
        <f ca="1">IF(AB82="OUI",COUNTIFS($AB$5:AB82,"OUI"),"")</f>
        <v/>
      </c>
      <c r="AG82" s="51" t="str">
        <f t="shared" ca="1" si="25"/>
        <v/>
      </c>
      <c r="AH82" s="51" t="str">
        <f t="shared" si="26"/>
        <v>NON</v>
      </c>
    </row>
    <row r="83" spans="1:34" x14ac:dyDescent="0.25">
      <c r="A83" s="51" t="str">
        <f t="shared" si="18"/>
        <v>MVT-0079</v>
      </c>
      <c r="B83" s="30"/>
      <c r="C83" s="25"/>
      <c r="D83" s="51" t="str">
        <f>IFERROR(INDEX(#REF!,MATCH(C83,#REF!,0)),"")</f>
        <v/>
      </c>
      <c r="E83" s="51" t="str">
        <f>IFERROR(INDEX(#REF!,MATCH(C83,#REF!,0)),"")</f>
        <v/>
      </c>
      <c r="F83" s="51" t="str">
        <f>IFERROR(INDEX(#REF!,MATCH(C83,#REF!,0)),"")</f>
        <v/>
      </c>
      <c r="G83" s="51" t="str">
        <f>IFERROR(INDEX(#REF!,MATCH(C83,#REF!,0)),"")</f>
        <v/>
      </c>
      <c r="H83" s="51" t="str">
        <f>IFERROR(INDEX(#REF!,MATCH(C83,#REF!,0)),"")</f>
        <v/>
      </c>
      <c r="I83" s="51" t="str">
        <f>IFERROR(INDEX(#REF!,MATCH(C83,#REF!,0)),"")</f>
        <v/>
      </c>
      <c r="J83" s="51" t="str">
        <f>IFERROR(INDEX(#REF!,MATCH(C83,#REF!,0)),"")</f>
        <v/>
      </c>
      <c r="K83" s="51" t="str">
        <f>IFERROR(INDEX(#REF!,MATCH(C83,#REF!,0)),"")</f>
        <v/>
      </c>
      <c r="L83" s="25"/>
      <c r="M83" s="25"/>
      <c r="N83" s="25"/>
      <c r="O83" s="25"/>
      <c r="P83" s="51" t="str">
        <f>IFERROR(INDEX(#REF!,MATCH(O83,#REF!,0)),"")</f>
        <v/>
      </c>
      <c r="Q83" s="51" t="str">
        <f>IFERROR(INDEX(#REF!,MATCH(O83,#REF!,0)),"")</f>
        <v/>
      </c>
      <c r="R83" s="51">
        <f t="shared" si="19"/>
        <v>0</v>
      </c>
      <c r="S83" s="29"/>
      <c r="T83" s="25"/>
      <c r="U83" s="25"/>
      <c r="V83" s="30"/>
      <c r="W83" s="30"/>
      <c r="X83" s="51" t="str">
        <f t="shared" ca="1" si="20"/>
        <v/>
      </c>
      <c r="Y83" s="25"/>
      <c r="Z83" s="25"/>
      <c r="AA83" s="51" t="str">
        <f t="shared" ca="1" si="21"/>
        <v/>
      </c>
      <c r="AB83" s="51" t="str">
        <f t="shared" ca="1" si="22"/>
        <v>NON</v>
      </c>
      <c r="AC83" s="51" t="str">
        <f t="shared" si="23"/>
        <v/>
      </c>
      <c r="AD83" s="51" t="str">
        <f>IF(O83&lt;&gt;"",COUNTIFS($O$5:O83,O83),"")</f>
        <v/>
      </c>
      <c r="AE83" s="51" t="str">
        <f t="shared" si="24"/>
        <v/>
      </c>
      <c r="AF83" s="51" t="str">
        <f ca="1">IF(AB83="OUI",COUNTIFS($AB$5:AB83,"OUI"),"")</f>
        <v/>
      </c>
      <c r="AG83" s="51" t="str">
        <f t="shared" ca="1" si="25"/>
        <v/>
      </c>
      <c r="AH83" s="51" t="str">
        <f t="shared" si="26"/>
        <v>NON</v>
      </c>
    </row>
    <row r="84" spans="1:34" x14ac:dyDescent="0.25">
      <c r="A84" s="51" t="str">
        <f t="shared" si="18"/>
        <v>MVT-0080</v>
      </c>
      <c r="B84" s="36"/>
      <c r="C84" s="31"/>
      <c r="D84" s="51" t="str">
        <f>IFERROR(INDEX(#REF!,MATCH(C84,#REF!,0)),"")</f>
        <v/>
      </c>
      <c r="E84" s="51" t="str">
        <f>IFERROR(INDEX(#REF!,MATCH(C84,#REF!,0)),"")</f>
        <v/>
      </c>
      <c r="F84" s="51" t="str">
        <f>IFERROR(INDEX(#REF!,MATCH(C84,#REF!,0)),"")</f>
        <v/>
      </c>
      <c r="G84" s="51" t="str">
        <f>IFERROR(INDEX(#REF!,MATCH(C84,#REF!,0)),"")</f>
        <v/>
      </c>
      <c r="H84" s="51" t="str">
        <f>IFERROR(INDEX(#REF!,MATCH(C84,#REF!,0)),"")</f>
        <v/>
      </c>
      <c r="I84" s="51" t="str">
        <f>IFERROR(INDEX(#REF!,MATCH(C84,#REF!,0)),"")</f>
        <v/>
      </c>
      <c r="J84" s="51" t="str">
        <f>IFERROR(INDEX(#REF!,MATCH(C84,#REF!,0)),"")</f>
        <v/>
      </c>
      <c r="K84" s="51" t="str">
        <f>IFERROR(INDEX(#REF!,MATCH(C84,#REF!,0)),"")</f>
        <v/>
      </c>
      <c r="L84" s="31"/>
      <c r="M84" s="31"/>
      <c r="N84" s="31"/>
      <c r="O84" s="31"/>
      <c r="P84" s="51" t="str">
        <f>IFERROR(INDEX(#REF!,MATCH(O84,#REF!,0)),"")</f>
        <v/>
      </c>
      <c r="Q84" s="51" t="str">
        <f>IFERROR(INDEX(#REF!,MATCH(O84,#REF!,0)),"")</f>
        <v/>
      </c>
      <c r="R84" s="51">
        <f t="shared" si="19"/>
        <v>0</v>
      </c>
      <c r="S84" s="35"/>
      <c r="T84" s="31"/>
      <c r="U84" s="31"/>
      <c r="V84" s="36"/>
      <c r="W84" s="36"/>
      <c r="X84" s="51" t="str">
        <f t="shared" ca="1" si="20"/>
        <v/>
      </c>
      <c r="Y84" s="31"/>
      <c r="Z84" s="31"/>
      <c r="AA84" s="51" t="str">
        <f t="shared" ca="1" si="21"/>
        <v/>
      </c>
      <c r="AB84" s="51" t="str">
        <f t="shared" ca="1" si="22"/>
        <v>NON</v>
      </c>
      <c r="AC84" s="51" t="str">
        <f t="shared" si="23"/>
        <v/>
      </c>
      <c r="AD84" s="51" t="str">
        <f>IF(O84&lt;&gt;"",COUNTIFS($O$5:O84,O84),"")</f>
        <v/>
      </c>
      <c r="AE84" s="51" t="str">
        <f t="shared" si="24"/>
        <v/>
      </c>
      <c r="AF84" s="51" t="str">
        <f ca="1">IF(AB84="OUI",COUNTIFS($AB$5:AB84,"OUI"),"")</f>
        <v/>
      </c>
      <c r="AG84" s="51" t="str">
        <f t="shared" ca="1" si="25"/>
        <v/>
      </c>
      <c r="AH84" s="51" t="str">
        <f t="shared" si="26"/>
        <v>NON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F40"/>
  <sheetViews>
    <sheetView workbookViewId="0"/>
  </sheetViews>
  <sheetFormatPr baseColWidth="10" defaultRowHeight="15" x14ac:dyDescent="0.25"/>
  <sheetData>
    <row r="1" spans="1:6" ht="20.25" x14ac:dyDescent="0.25">
      <c r="A1" s="22" t="s">
        <v>690</v>
      </c>
      <c r="B1" s="22"/>
      <c r="C1" s="22"/>
      <c r="D1" s="22"/>
      <c r="E1" s="22"/>
      <c r="F1" s="22"/>
    </row>
    <row r="2" spans="1:6" ht="180" x14ac:dyDescent="0.25">
      <c r="A2" s="23" t="s">
        <v>691</v>
      </c>
      <c r="B2" s="23"/>
      <c r="C2" s="23"/>
      <c r="D2" s="23"/>
      <c r="E2" s="23"/>
      <c r="F2" s="23"/>
    </row>
    <row r="4" spans="1:6" ht="17.25" x14ac:dyDescent="0.3">
      <c r="A4" s="56" t="s">
        <v>692</v>
      </c>
      <c r="B4" s="57" t="s">
        <v>558</v>
      </c>
    </row>
    <row r="6" spans="1:6" x14ac:dyDescent="0.25">
      <c r="A6" s="58" t="s">
        <v>69</v>
      </c>
      <c r="B6" s="59" t="str">
        <f>IFERROR(INDEX(#REF!,MATCH(B4,#REF!,0)),"Non trouve")</f>
        <v>Non trouve</v>
      </c>
      <c r="C6" s="59"/>
      <c r="D6" s="59"/>
      <c r="E6" s="59"/>
      <c r="F6" s="59"/>
    </row>
    <row r="7" spans="1:6" x14ac:dyDescent="0.25">
      <c r="A7" s="58" t="s">
        <v>547</v>
      </c>
      <c r="B7" s="59" t="str">
        <f>IFERROR(IF(INDEX(#REF!,MATCH(B4,#REF!,0))="","",INDEX(#REF!,MATCH(B4,#REF!,0))),"")</f>
        <v/>
      </c>
      <c r="C7" s="59"/>
      <c r="D7" s="59"/>
      <c r="E7" s="59"/>
      <c r="F7" s="59"/>
    </row>
    <row r="8" spans="1:6" x14ac:dyDescent="0.25">
      <c r="A8" s="58" t="s">
        <v>548</v>
      </c>
      <c r="B8" s="59" t="str">
        <f>IFERROR(IF(INDEX(#REF!,MATCH(B4,#REF!,0))="","",INDEX(#REF!,MATCH(B4,#REF!,0))),"")</f>
        <v/>
      </c>
      <c r="C8" s="59"/>
      <c r="D8" s="59"/>
      <c r="E8" s="59"/>
      <c r="F8" s="59"/>
    </row>
    <row r="9" spans="1:6" x14ac:dyDescent="0.25">
      <c r="A9" s="58" t="s">
        <v>693</v>
      </c>
      <c r="B9" s="59" t="str">
        <f>IFERROR(INDEX(#REF!,MATCH(B4,#REF!,0)),"")</f>
        <v/>
      </c>
      <c r="C9" s="59"/>
      <c r="D9" s="59"/>
      <c r="E9" s="59"/>
      <c r="F9" s="59"/>
    </row>
    <row r="10" spans="1:6" x14ac:dyDescent="0.25">
      <c r="A10" s="58" t="s">
        <v>694</v>
      </c>
      <c r="B10" s="59" t="str">
        <f>IFERROR(INDEX(#REF!,MATCH(B4,#REF!,0)),"")</f>
        <v/>
      </c>
      <c r="C10" s="59"/>
      <c r="D10" s="59"/>
      <c r="E10" s="59"/>
      <c r="F10" s="59"/>
    </row>
    <row r="11" spans="1:6" x14ac:dyDescent="0.25">
      <c r="A11" s="58" t="s">
        <v>695</v>
      </c>
      <c r="B11" s="59" t="str">
        <f>IFERROR(INDEX(#REF!,MATCH(B4,#REF!,0)),"")</f>
        <v/>
      </c>
      <c r="C11" s="59"/>
      <c r="D11" s="59"/>
      <c r="E11" s="59"/>
      <c r="F11" s="59"/>
    </row>
    <row r="12" spans="1:6" x14ac:dyDescent="0.25">
      <c r="A12" s="58" t="s">
        <v>696</v>
      </c>
      <c r="B12" s="59" t="str">
        <f>IFERROR(INDEX(#REF!,MATCH(B4,#REF!,0)),"")</f>
        <v/>
      </c>
      <c r="C12" s="59"/>
      <c r="D12" s="59"/>
      <c r="E12" s="59"/>
      <c r="F12" s="59"/>
    </row>
    <row r="13" spans="1:6" x14ac:dyDescent="0.25">
      <c r="A13" s="58" t="s">
        <v>697</v>
      </c>
      <c r="B13" s="60" t="str">
        <f>IFERROR(INDEX(#REF!,MATCH(B4,#REF!,0)),"")</f>
        <v/>
      </c>
      <c r="C13" s="60"/>
      <c r="D13" s="60"/>
      <c r="E13" s="60"/>
      <c r="F13" s="60"/>
    </row>
    <row r="14" spans="1:6" x14ac:dyDescent="0.25">
      <c r="A14" s="58" t="s">
        <v>698</v>
      </c>
      <c r="B14" s="59" t="str">
        <f>IFERROR(INDEX(#REF!,MATCH(B4,#REF!,0)),"")</f>
        <v/>
      </c>
      <c r="C14" s="59"/>
      <c r="D14" s="59"/>
      <c r="E14" s="59"/>
      <c r="F14" s="59"/>
    </row>
    <row r="15" spans="1:6" x14ac:dyDescent="0.25">
      <c r="A15" s="58" t="s">
        <v>699</v>
      </c>
      <c r="B15" s="59" t="e">
        <f>COUNTIF(#REF!,B4)</f>
        <v>#REF!</v>
      </c>
      <c r="C15" s="59"/>
      <c r="D15" s="59"/>
      <c r="E15" s="59"/>
      <c r="F15" s="59"/>
    </row>
    <row r="17" spans="1:6" ht="17.25" x14ac:dyDescent="0.3">
      <c r="A17" s="61" t="s">
        <v>700</v>
      </c>
      <c r="B17" s="61"/>
      <c r="C17" s="61"/>
      <c r="D17" s="61"/>
      <c r="E17" s="61"/>
      <c r="F17" s="61"/>
    </row>
    <row r="18" spans="1:6" ht="49.5" x14ac:dyDescent="0.25">
      <c r="A18" s="24" t="s">
        <v>669</v>
      </c>
      <c r="B18" s="24" t="s">
        <v>670</v>
      </c>
      <c r="C18" s="24" t="s">
        <v>55</v>
      </c>
      <c r="D18" s="24" t="s">
        <v>676</v>
      </c>
      <c r="E18" s="24" t="s">
        <v>678</v>
      </c>
      <c r="F18" s="24" t="s">
        <v>679</v>
      </c>
    </row>
    <row r="19" spans="1:6" x14ac:dyDescent="0.25">
      <c r="A19" s="46" t="str">
        <f>IFERROR(INDEX(#REF!,MATCH(B4&amp;"|R"&amp;1,#REF!,0)),"")</f>
        <v/>
      </c>
      <c r="B19" s="62" t="str">
        <f>IFERROR(INDEX(#REF!,MATCH(B4&amp;"|R"&amp;1,#REF!,0)),"")</f>
        <v/>
      </c>
      <c r="C19" s="46" t="str">
        <f>IFERROR(INDEX(#REF!,MATCH(B4&amp;"|R"&amp;1,#REF!,0)),"")</f>
        <v/>
      </c>
      <c r="D19" s="46" t="str">
        <f>IFERROR(INDEX(#REF!,MATCH(B4&amp;"|R"&amp;1,#REF!,0)),"")</f>
        <v/>
      </c>
      <c r="E19" s="62" t="str">
        <f>IFERROR(INDEX(#REF!,MATCH(B4&amp;"|R"&amp;1,#REF!,0)),"")</f>
        <v/>
      </c>
      <c r="F19" s="62" t="str">
        <f>IFERROR(INDEX(#REF!,MATCH(B4&amp;"|R"&amp;1,#REF!,0)),"")</f>
        <v/>
      </c>
    </row>
    <row r="20" spans="1:6" x14ac:dyDescent="0.25">
      <c r="A20" s="48" t="str">
        <f>IFERROR(INDEX(#REF!,MATCH(B4&amp;"|R"&amp;2,#REF!,0)),"")</f>
        <v/>
      </c>
      <c r="B20" s="63" t="str">
        <f>IFERROR(INDEX(#REF!,MATCH(B4&amp;"|R"&amp;2,#REF!,0)),"")</f>
        <v/>
      </c>
      <c r="C20" s="48" t="str">
        <f>IFERROR(INDEX(#REF!,MATCH(B4&amp;"|R"&amp;2,#REF!,0)),"")</f>
        <v/>
      </c>
      <c r="D20" s="48" t="str">
        <f>IFERROR(INDEX(#REF!,MATCH(B4&amp;"|R"&amp;2,#REF!,0)),"")</f>
        <v/>
      </c>
      <c r="E20" s="63" t="str">
        <f>IFERROR(INDEX(#REF!,MATCH(B4&amp;"|R"&amp;2,#REF!,0)),"")</f>
        <v/>
      </c>
      <c r="F20" s="63" t="str">
        <f>IFERROR(INDEX(#REF!,MATCH(B4&amp;"|R"&amp;2,#REF!,0)),"")</f>
        <v/>
      </c>
    </row>
    <row r="21" spans="1:6" x14ac:dyDescent="0.25">
      <c r="A21" s="46" t="str">
        <f>IFERROR(INDEX(#REF!,MATCH(B4&amp;"|R"&amp;3,#REF!,0)),"")</f>
        <v/>
      </c>
      <c r="B21" s="62" t="str">
        <f>IFERROR(INDEX(#REF!,MATCH(B4&amp;"|R"&amp;3,#REF!,0)),"")</f>
        <v/>
      </c>
      <c r="C21" s="46" t="str">
        <f>IFERROR(INDEX(#REF!,MATCH(B4&amp;"|R"&amp;3,#REF!,0)),"")</f>
        <v/>
      </c>
      <c r="D21" s="46" t="str">
        <f>IFERROR(INDEX(#REF!,MATCH(B4&amp;"|R"&amp;3,#REF!,0)),"")</f>
        <v/>
      </c>
      <c r="E21" s="62" t="str">
        <f>IFERROR(INDEX(#REF!,MATCH(B4&amp;"|R"&amp;3,#REF!,0)),"")</f>
        <v/>
      </c>
      <c r="F21" s="62" t="str">
        <f>IFERROR(INDEX(#REF!,MATCH(B4&amp;"|R"&amp;3,#REF!,0)),"")</f>
        <v/>
      </c>
    </row>
    <row r="22" spans="1:6" x14ac:dyDescent="0.25">
      <c r="A22" s="48" t="str">
        <f>IFERROR(INDEX(#REF!,MATCH(B4&amp;"|R"&amp;4,#REF!,0)),"")</f>
        <v/>
      </c>
      <c r="B22" s="63" t="str">
        <f>IFERROR(INDEX(#REF!,MATCH(B4&amp;"|R"&amp;4,#REF!,0)),"")</f>
        <v/>
      </c>
      <c r="C22" s="48" t="str">
        <f>IFERROR(INDEX(#REF!,MATCH(B4&amp;"|R"&amp;4,#REF!,0)),"")</f>
        <v/>
      </c>
      <c r="D22" s="48" t="str">
        <f>IFERROR(INDEX(#REF!,MATCH(B4&amp;"|R"&amp;4,#REF!,0)),"")</f>
        <v/>
      </c>
      <c r="E22" s="63" t="str">
        <f>IFERROR(INDEX(#REF!,MATCH(B4&amp;"|R"&amp;4,#REF!,0)),"")</f>
        <v/>
      </c>
      <c r="F22" s="63" t="str">
        <f>IFERROR(INDEX(#REF!,MATCH(B4&amp;"|R"&amp;4,#REF!,0)),"")</f>
        <v/>
      </c>
    </row>
    <row r="23" spans="1:6" x14ac:dyDescent="0.25">
      <c r="A23" s="46" t="str">
        <f>IFERROR(INDEX(#REF!,MATCH(B4&amp;"|R"&amp;5,#REF!,0)),"")</f>
        <v/>
      </c>
      <c r="B23" s="62" t="str">
        <f>IFERROR(INDEX(#REF!,MATCH(B4&amp;"|R"&amp;5,#REF!,0)),"")</f>
        <v/>
      </c>
      <c r="C23" s="46" t="str">
        <f>IFERROR(INDEX(#REF!,MATCH(B4&amp;"|R"&amp;5,#REF!,0)),"")</f>
        <v/>
      </c>
      <c r="D23" s="46" t="str">
        <f>IFERROR(INDEX(#REF!,MATCH(B4&amp;"|R"&amp;5,#REF!,0)),"")</f>
        <v/>
      </c>
      <c r="E23" s="62" t="str">
        <f>IFERROR(INDEX(#REF!,MATCH(B4&amp;"|R"&amp;5,#REF!,0)),"")</f>
        <v/>
      </c>
      <c r="F23" s="62" t="str">
        <f>IFERROR(INDEX(#REF!,MATCH(B4&amp;"|R"&amp;5,#REF!,0)),"")</f>
        <v/>
      </c>
    </row>
    <row r="24" spans="1:6" x14ac:dyDescent="0.25">
      <c r="A24" s="48" t="str">
        <f>IFERROR(INDEX(#REF!,MATCH(B4&amp;"|R"&amp;6,#REF!,0)),"")</f>
        <v/>
      </c>
      <c r="B24" s="63" t="str">
        <f>IFERROR(INDEX(#REF!,MATCH(B4&amp;"|R"&amp;6,#REF!,0)),"")</f>
        <v/>
      </c>
      <c r="C24" s="48" t="str">
        <f>IFERROR(INDEX(#REF!,MATCH(B4&amp;"|R"&amp;6,#REF!,0)),"")</f>
        <v/>
      </c>
      <c r="D24" s="48" t="str">
        <f>IFERROR(INDEX(#REF!,MATCH(B4&amp;"|R"&amp;6,#REF!,0)),"")</f>
        <v/>
      </c>
      <c r="E24" s="63" t="str">
        <f>IFERROR(INDEX(#REF!,MATCH(B4&amp;"|R"&amp;6,#REF!,0)),"")</f>
        <v/>
      </c>
      <c r="F24" s="63" t="str">
        <f>IFERROR(INDEX(#REF!,MATCH(B4&amp;"|R"&amp;6,#REF!,0)),"")</f>
        <v/>
      </c>
    </row>
    <row r="25" spans="1:6" x14ac:dyDescent="0.25">
      <c r="A25" s="46" t="str">
        <f>IFERROR(INDEX(#REF!,MATCH(B4&amp;"|R"&amp;7,#REF!,0)),"")</f>
        <v/>
      </c>
      <c r="B25" s="62" t="str">
        <f>IFERROR(INDEX(#REF!,MATCH(B4&amp;"|R"&amp;7,#REF!,0)),"")</f>
        <v/>
      </c>
      <c r="C25" s="46" t="str">
        <f>IFERROR(INDEX(#REF!,MATCH(B4&amp;"|R"&amp;7,#REF!,0)),"")</f>
        <v/>
      </c>
      <c r="D25" s="46" t="str">
        <f>IFERROR(INDEX(#REF!,MATCH(B4&amp;"|R"&amp;7,#REF!,0)),"")</f>
        <v/>
      </c>
      <c r="E25" s="62" t="str">
        <f>IFERROR(INDEX(#REF!,MATCH(B4&amp;"|R"&amp;7,#REF!,0)),"")</f>
        <v/>
      </c>
      <c r="F25" s="62" t="str">
        <f>IFERROR(INDEX(#REF!,MATCH(B4&amp;"|R"&amp;7,#REF!,0)),"")</f>
        <v/>
      </c>
    </row>
    <row r="26" spans="1:6" x14ac:dyDescent="0.25">
      <c r="A26" s="48" t="str">
        <f>IFERROR(INDEX(#REF!,MATCH(B4&amp;"|R"&amp;8,#REF!,0)),"")</f>
        <v/>
      </c>
      <c r="B26" s="63" t="str">
        <f>IFERROR(INDEX(#REF!,MATCH(B4&amp;"|R"&amp;8,#REF!,0)),"")</f>
        <v/>
      </c>
      <c r="C26" s="48" t="str">
        <f>IFERROR(INDEX(#REF!,MATCH(B4&amp;"|R"&amp;8,#REF!,0)),"")</f>
        <v/>
      </c>
      <c r="D26" s="48" t="str">
        <f>IFERROR(INDEX(#REF!,MATCH(B4&amp;"|R"&amp;8,#REF!,0)),"")</f>
        <v/>
      </c>
      <c r="E26" s="63" t="str">
        <f>IFERROR(INDEX(#REF!,MATCH(B4&amp;"|R"&amp;8,#REF!,0)),"")</f>
        <v/>
      </c>
      <c r="F26" s="63" t="str">
        <f>IFERROR(INDEX(#REF!,MATCH(B4&amp;"|R"&amp;8,#REF!,0)),"")</f>
        <v/>
      </c>
    </row>
    <row r="27" spans="1:6" x14ac:dyDescent="0.25">
      <c r="A27" s="46" t="str">
        <f>IFERROR(INDEX(#REF!,MATCH(B4&amp;"|R"&amp;9,#REF!,0)),"")</f>
        <v/>
      </c>
      <c r="B27" s="62" t="str">
        <f>IFERROR(INDEX(#REF!,MATCH(B4&amp;"|R"&amp;9,#REF!,0)),"")</f>
        <v/>
      </c>
      <c r="C27" s="46" t="str">
        <f>IFERROR(INDEX(#REF!,MATCH(B4&amp;"|R"&amp;9,#REF!,0)),"")</f>
        <v/>
      </c>
      <c r="D27" s="46" t="str">
        <f>IFERROR(INDEX(#REF!,MATCH(B4&amp;"|R"&amp;9,#REF!,0)),"")</f>
        <v/>
      </c>
      <c r="E27" s="62" t="str">
        <f>IFERROR(INDEX(#REF!,MATCH(B4&amp;"|R"&amp;9,#REF!,0)),"")</f>
        <v/>
      </c>
      <c r="F27" s="62" t="str">
        <f>IFERROR(INDEX(#REF!,MATCH(B4&amp;"|R"&amp;9,#REF!,0)),"")</f>
        <v/>
      </c>
    </row>
    <row r="28" spans="1:6" x14ac:dyDescent="0.25">
      <c r="A28" s="48" t="str">
        <f>IFERROR(INDEX(#REF!,MATCH(B4&amp;"|R"&amp;10,#REF!,0)),"")</f>
        <v/>
      </c>
      <c r="B28" s="63" t="str">
        <f>IFERROR(INDEX(#REF!,MATCH(B4&amp;"|R"&amp;10,#REF!,0)),"")</f>
        <v/>
      </c>
      <c r="C28" s="48" t="str">
        <f>IFERROR(INDEX(#REF!,MATCH(B4&amp;"|R"&amp;10,#REF!,0)),"")</f>
        <v/>
      </c>
      <c r="D28" s="48" t="str">
        <f>IFERROR(INDEX(#REF!,MATCH(B4&amp;"|R"&amp;10,#REF!,0)),"")</f>
        <v/>
      </c>
      <c r="E28" s="63" t="str">
        <f>IFERROR(INDEX(#REF!,MATCH(B4&amp;"|R"&amp;10,#REF!,0)),"")</f>
        <v/>
      </c>
      <c r="F28" s="63" t="str">
        <f>IFERROR(INDEX(#REF!,MATCH(B4&amp;"|R"&amp;10,#REF!,0)),"")</f>
        <v/>
      </c>
    </row>
    <row r="29" spans="1:6" x14ac:dyDescent="0.25">
      <c r="A29" s="46" t="str">
        <f>IFERROR(INDEX(#REF!,MATCH(B4&amp;"|R"&amp;11,#REF!,0)),"")</f>
        <v/>
      </c>
      <c r="B29" s="62" t="str">
        <f>IFERROR(INDEX(#REF!,MATCH(B4&amp;"|R"&amp;11,#REF!,0)),"")</f>
        <v/>
      </c>
      <c r="C29" s="46" t="str">
        <f>IFERROR(INDEX(#REF!,MATCH(B4&amp;"|R"&amp;11,#REF!,0)),"")</f>
        <v/>
      </c>
      <c r="D29" s="46" t="str">
        <f>IFERROR(INDEX(#REF!,MATCH(B4&amp;"|R"&amp;11,#REF!,0)),"")</f>
        <v/>
      </c>
      <c r="E29" s="62" t="str">
        <f>IFERROR(INDEX(#REF!,MATCH(B4&amp;"|R"&amp;11,#REF!,0)),"")</f>
        <v/>
      </c>
      <c r="F29" s="62" t="str">
        <f>IFERROR(INDEX(#REF!,MATCH(B4&amp;"|R"&amp;11,#REF!,0)),"")</f>
        <v/>
      </c>
    </row>
    <row r="30" spans="1:6" x14ac:dyDescent="0.25">
      <c r="A30" s="48" t="str">
        <f>IFERROR(INDEX(#REF!,MATCH(B4&amp;"|R"&amp;12,#REF!,0)),"")</f>
        <v/>
      </c>
      <c r="B30" s="63" t="str">
        <f>IFERROR(INDEX(#REF!,MATCH(B4&amp;"|R"&amp;12,#REF!,0)),"")</f>
        <v/>
      </c>
      <c r="C30" s="48" t="str">
        <f>IFERROR(INDEX(#REF!,MATCH(B4&amp;"|R"&amp;12,#REF!,0)),"")</f>
        <v/>
      </c>
      <c r="D30" s="48" t="str">
        <f>IFERROR(INDEX(#REF!,MATCH(B4&amp;"|R"&amp;12,#REF!,0)),"")</f>
        <v/>
      </c>
      <c r="E30" s="63" t="str">
        <f>IFERROR(INDEX(#REF!,MATCH(B4&amp;"|R"&amp;12,#REF!,0)),"")</f>
        <v/>
      </c>
      <c r="F30" s="63" t="str">
        <f>IFERROR(INDEX(#REF!,MATCH(B4&amp;"|R"&amp;12,#REF!,0)),"")</f>
        <v/>
      </c>
    </row>
    <row r="31" spans="1:6" x14ac:dyDescent="0.25">
      <c r="A31" s="46" t="str">
        <f>IFERROR(INDEX(#REF!,MATCH(B4&amp;"|R"&amp;13,#REF!,0)),"")</f>
        <v/>
      </c>
      <c r="B31" s="62" t="str">
        <f>IFERROR(INDEX(#REF!,MATCH(B4&amp;"|R"&amp;13,#REF!,0)),"")</f>
        <v/>
      </c>
      <c r="C31" s="46" t="str">
        <f>IFERROR(INDEX(#REF!,MATCH(B4&amp;"|R"&amp;13,#REF!,0)),"")</f>
        <v/>
      </c>
      <c r="D31" s="46" t="str">
        <f>IFERROR(INDEX(#REF!,MATCH(B4&amp;"|R"&amp;13,#REF!,0)),"")</f>
        <v/>
      </c>
      <c r="E31" s="62" t="str">
        <f>IFERROR(INDEX(#REF!,MATCH(B4&amp;"|R"&amp;13,#REF!,0)),"")</f>
        <v/>
      </c>
      <c r="F31" s="62" t="str">
        <f>IFERROR(INDEX(#REF!,MATCH(B4&amp;"|R"&amp;13,#REF!,0)),"")</f>
        <v/>
      </c>
    </row>
    <row r="32" spans="1:6" x14ac:dyDescent="0.25">
      <c r="A32" s="48" t="str">
        <f>IFERROR(INDEX(#REF!,MATCH(B4&amp;"|R"&amp;14,#REF!,0)),"")</f>
        <v/>
      </c>
      <c r="B32" s="63" t="str">
        <f>IFERROR(INDEX(#REF!,MATCH(B4&amp;"|R"&amp;14,#REF!,0)),"")</f>
        <v/>
      </c>
      <c r="C32" s="48" t="str">
        <f>IFERROR(INDEX(#REF!,MATCH(B4&amp;"|R"&amp;14,#REF!,0)),"")</f>
        <v/>
      </c>
      <c r="D32" s="48" t="str">
        <f>IFERROR(INDEX(#REF!,MATCH(B4&amp;"|R"&amp;14,#REF!,0)),"")</f>
        <v/>
      </c>
      <c r="E32" s="63" t="str">
        <f>IFERROR(INDEX(#REF!,MATCH(B4&amp;"|R"&amp;14,#REF!,0)),"")</f>
        <v/>
      </c>
      <c r="F32" s="63" t="str">
        <f>IFERROR(INDEX(#REF!,MATCH(B4&amp;"|R"&amp;14,#REF!,0)),"")</f>
        <v/>
      </c>
    </row>
    <row r="33" spans="1:6" x14ac:dyDescent="0.25">
      <c r="A33" s="46" t="str">
        <f>IFERROR(INDEX(#REF!,MATCH(B4&amp;"|R"&amp;15,#REF!,0)),"")</f>
        <v/>
      </c>
      <c r="B33" s="62" t="str">
        <f>IFERROR(INDEX(#REF!,MATCH(B4&amp;"|R"&amp;15,#REF!,0)),"")</f>
        <v/>
      </c>
      <c r="C33" s="46" t="str">
        <f>IFERROR(INDEX(#REF!,MATCH(B4&amp;"|R"&amp;15,#REF!,0)),"")</f>
        <v/>
      </c>
      <c r="D33" s="46" t="str">
        <f>IFERROR(INDEX(#REF!,MATCH(B4&amp;"|R"&amp;15,#REF!,0)),"")</f>
        <v/>
      </c>
      <c r="E33" s="62" t="str">
        <f>IFERROR(INDEX(#REF!,MATCH(B4&amp;"|R"&amp;15,#REF!,0)),"")</f>
        <v/>
      </c>
      <c r="F33" s="62" t="str">
        <f>IFERROR(INDEX(#REF!,MATCH(B4&amp;"|R"&amp;15,#REF!,0)),"")</f>
        <v/>
      </c>
    </row>
    <row r="34" spans="1:6" x14ac:dyDescent="0.25">
      <c r="A34" s="48" t="str">
        <f>IFERROR(INDEX(#REF!,MATCH(B4&amp;"|R"&amp;16,#REF!,0)),"")</f>
        <v/>
      </c>
      <c r="B34" s="63" t="str">
        <f>IFERROR(INDEX(#REF!,MATCH(B4&amp;"|R"&amp;16,#REF!,0)),"")</f>
        <v/>
      </c>
      <c r="C34" s="48" t="str">
        <f>IFERROR(INDEX(#REF!,MATCH(B4&amp;"|R"&amp;16,#REF!,0)),"")</f>
        <v/>
      </c>
      <c r="D34" s="48" t="str">
        <f>IFERROR(INDEX(#REF!,MATCH(B4&amp;"|R"&amp;16,#REF!,0)),"")</f>
        <v/>
      </c>
      <c r="E34" s="63" t="str">
        <f>IFERROR(INDEX(#REF!,MATCH(B4&amp;"|R"&amp;16,#REF!,0)),"")</f>
        <v/>
      </c>
      <c r="F34" s="63" t="str">
        <f>IFERROR(INDEX(#REF!,MATCH(B4&amp;"|R"&amp;16,#REF!,0)),"")</f>
        <v/>
      </c>
    </row>
    <row r="35" spans="1:6" x14ac:dyDescent="0.25">
      <c r="A35" s="46" t="str">
        <f>IFERROR(INDEX(#REF!,MATCH(B4&amp;"|R"&amp;17,#REF!,0)),"")</f>
        <v/>
      </c>
      <c r="B35" s="62" t="str">
        <f>IFERROR(INDEX(#REF!,MATCH(B4&amp;"|R"&amp;17,#REF!,0)),"")</f>
        <v/>
      </c>
      <c r="C35" s="46" t="str">
        <f>IFERROR(INDEX(#REF!,MATCH(B4&amp;"|R"&amp;17,#REF!,0)),"")</f>
        <v/>
      </c>
      <c r="D35" s="46" t="str">
        <f>IFERROR(INDEX(#REF!,MATCH(B4&amp;"|R"&amp;17,#REF!,0)),"")</f>
        <v/>
      </c>
      <c r="E35" s="62" t="str">
        <f>IFERROR(INDEX(#REF!,MATCH(B4&amp;"|R"&amp;17,#REF!,0)),"")</f>
        <v/>
      </c>
      <c r="F35" s="62" t="str">
        <f>IFERROR(INDEX(#REF!,MATCH(B4&amp;"|R"&amp;17,#REF!,0)),"")</f>
        <v/>
      </c>
    </row>
    <row r="36" spans="1:6" x14ac:dyDescent="0.25">
      <c r="A36" s="48" t="str">
        <f>IFERROR(INDEX(#REF!,MATCH(B4&amp;"|R"&amp;18,#REF!,0)),"")</f>
        <v/>
      </c>
      <c r="B36" s="63" t="str">
        <f>IFERROR(INDEX(#REF!,MATCH(B4&amp;"|R"&amp;18,#REF!,0)),"")</f>
        <v/>
      </c>
      <c r="C36" s="48" t="str">
        <f>IFERROR(INDEX(#REF!,MATCH(B4&amp;"|R"&amp;18,#REF!,0)),"")</f>
        <v/>
      </c>
      <c r="D36" s="48" t="str">
        <f>IFERROR(INDEX(#REF!,MATCH(B4&amp;"|R"&amp;18,#REF!,0)),"")</f>
        <v/>
      </c>
      <c r="E36" s="63" t="str">
        <f>IFERROR(INDEX(#REF!,MATCH(B4&amp;"|R"&amp;18,#REF!,0)),"")</f>
        <v/>
      </c>
      <c r="F36" s="63" t="str">
        <f>IFERROR(INDEX(#REF!,MATCH(B4&amp;"|R"&amp;18,#REF!,0)),"")</f>
        <v/>
      </c>
    </row>
    <row r="37" spans="1:6" x14ac:dyDescent="0.25">
      <c r="A37" s="46" t="str">
        <f>IFERROR(INDEX(#REF!,MATCH(B4&amp;"|R"&amp;19,#REF!,0)),"")</f>
        <v/>
      </c>
      <c r="B37" s="62" t="str">
        <f>IFERROR(INDEX(#REF!,MATCH(B4&amp;"|R"&amp;19,#REF!,0)),"")</f>
        <v/>
      </c>
      <c r="C37" s="46" t="str">
        <f>IFERROR(INDEX(#REF!,MATCH(B4&amp;"|R"&amp;19,#REF!,0)),"")</f>
        <v/>
      </c>
      <c r="D37" s="46" t="str">
        <f>IFERROR(INDEX(#REF!,MATCH(B4&amp;"|R"&amp;19,#REF!,0)),"")</f>
        <v/>
      </c>
      <c r="E37" s="62" t="str">
        <f>IFERROR(INDEX(#REF!,MATCH(B4&amp;"|R"&amp;19,#REF!,0)),"")</f>
        <v/>
      </c>
      <c r="F37" s="62" t="str">
        <f>IFERROR(INDEX(#REF!,MATCH(B4&amp;"|R"&amp;19,#REF!,0)),"")</f>
        <v/>
      </c>
    </row>
    <row r="38" spans="1:6" x14ac:dyDescent="0.25">
      <c r="A38" s="48" t="str">
        <f>IFERROR(INDEX(#REF!,MATCH(B4&amp;"|R"&amp;20,#REF!,0)),"")</f>
        <v/>
      </c>
      <c r="B38" s="63" t="str">
        <f>IFERROR(INDEX(#REF!,MATCH(B4&amp;"|R"&amp;20,#REF!,0)),"")</f>
        <v/>
      </c>
      <c r="C38" s="48" t="str">
        <f>IFERROR(INDEX(#REF!,MATCH(B4&amp;"|R"&amp;20,#REF!,0)),"")</f>
        <v/>
      </c>
      <c r="D38" s="48" t="str">
        <f>IFERROR(INDEX(#REF!,MATCH(B4&amp;"|R"&amp;20,#REF!,0)),"")</f>
        <v/>
      </c>
      <c r="E38" s="63" t="str">
        <f>IFERROR(INDEX(#REF!,MATCH(B4&amp;"|R"&amp;20,#REF!,0)),"")</f>
        <v/>
      </c>
      <c r="F38" s="63" t="str">
        <f>IFERROR(INDEX(#REF!,MATCH(B4&amp;"|R"&amp;20,#REF!,0)),"")</f>
        <v/>
      </c>
    </row>
    <row r="40" spans="1:6" ht="228" x14ac:dyDescent="0.25">
      <c r="A40" s="23" t="s">
        <v>701</v>
      </c>
      <c r="B40" s="23"/>
      <c r="C40" s="23"/>
      <c r="D40" s="23"/>
      <c r="E40" s="23"/>
      <c r="F40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F194"/>
  <sheetViews>
    <sheetView workbookViewId="0"/>
  </sheetViews>
  <sheetFormatPr baseColWidth="10" defaultRowHeight="15" x14ac:dyDescent="0.25"/>
  <sheetData>
    <row r="1" spans="1:6" ht="20.25" x14ac:dyDescent="0.25">
      <c r="A1" s="22" t="s">
        <v>702</v>
      </c>
      <c r="B1" s="22"/>
      <c r="C1" s="22"/>
      <c r="D1" s="22"/>
      <c r="E1" s="22"/>
      <c r="F1" s="22"/>
    </row>
    <row r="2" spans="1:6" ht="216" x14ac:dyDescent="0.25">
      <c r="A2" s="23" t="s">
        <v>703</v>
      </c>
      <c r="B2" s="23"/>
      <c r="C2" s="23"/>
      <c r="D2" s="23"/>
      <c r="E2" s="23"/>
      <c r="F2" s="23"/>
    </row>
    <row r="4" spans="1:6" ht="33" x14ac:dyDescent="0.25">
      <c r="A4" s="24" t="s">
        <v>68</v>
      </c>
      <c r="B4" s="24" t="s">
        <v>69</v>
      </c>
      <c r="C4" s="24" t="s">
        <v>32</v>
      </c>
      <c r="D4" s="24" t="s">
        <v>543</v>
      </c>
      <c r="E4" s="24" t="s">
        <v>73</v>
      </c>
      <c r="F4" s="24" t="s">
        <v>34</v>
      </c>
    </row>
    <row r="5" spans="1:6" x14ac:dyDescent="0.25">
      <c r="A5" s="64" t="s">
        <v>86</v>
      </c>
      <c r="B5" s="64" t="s">
        <v>87</v>
      </c>
      <c r="C5" s="64" t="s">
        <v>36</v>
      </c>
      <c r="D5" s="64">
        <v>0</v>
      </c>
      <c r="E5" s="64">
        <v>5</v>
      </c>
      <c r="F5" s="65" t="s">
        <v>41</v>
      </c>
    </row>
    <row r="6" spans="1:6" x14ac:dyDescent="0.25">
      <c r="A6" s="64" t="s">
        <v>88</v>
      </c>
      <c r="B6" s="64" t="s">
        <v>89</v>
      </c>
      <c r="C6" s="64" t="s">
        <v>36</v>
      </c>
      <c r="D6" s="64">
        <v>0</v>
      </c>
      <c r="E6" s="64">
        <v>5</v>
      </c>
      <c r="F6" s="65" t="s">
        <v>41</v>
      </c>
    </row>
    <row r="7" spans="1:6" x14ac:dyDescent="0.25">
      <c r="A7" s="64" t="s">
        <v>90</v>
      </c>
      <c r="B7" s="64" t="s">
        <v>91</v>
      </c>
      <c r="C7" s="64" t="s">
        <v>36</v>
      </c>
      <c r="D7" s="64">
        <v>0</v>
      </c>
      <c r="E7" s="64">
        <v>5</v>
      </c>
      <c r="F7" s="65" t="s">
        <v>41</v>
      </c>
    </row>
    <row r="8" spans="1:6" x14ac:dyDescent="0.25">
      <c r="A8" s="64" t="s">
        <v>94</v>
      </c>
      <c r="B8" s="64" t="s">
        <v>95</v>
      </c>
      <c r="C8" s="64" t="s">
        <v>36</v>
      </c>
      <c r="D8" s="64">
        <v>0</v>
      </c>
      <c r="E8" s="64">
        <v>5</v>
      </c>
      <c r="F8" s="65" t="s">
        <v>41</v>
      </c>
    </row>
    <row r="9" spans="1:6" x14ac:dyDescent="0.25">
      <c r="A9" s="66" t="s">
        <v>96</v>
      </c>
      <c r="B9" s="66" t="s">
        <v>97</v>
      </c>
      <c r="C9" s="66" t="s">
        <v>36</v>
      </c>
      <c r="D9" s="66">
        <v>1</v>
      </c>
      <c r="E9" s="66">
        <v>5</v>
      </c>
      <c r="F9" s="67" t="s">
        <v>39</v>
      </c>
    </row>
    <row r="10" spans="1:6" x14ac:dyDescent="0.25">
      <c r="A10" s="64" t="s">
        <v>98</v>
      </c>
      <c r="B10" s="64" t="s">
        <v>99</v>
      </c>
      <c r="C10" s="64" t="s">
        <v>36</v>
      </c>
      <c r="D10" s="64">
        <v>0</v>
      </c>
      <c r="E10" s="64">
        <v>5</v>
      </c>
      <c r="F10" s="65" t="s">
        <v>41</v>
      </c>
    </row>
    <row r="11" spans="1:6" x14ac:dyDescent="0.25">
      <c r="A11" s="64" t="s">
        <v>102</v>
      </c>
      <c r="B11" s="64" t="s">
        <v>103</v>
      </c>
      <c r="C11" s="64" t="s">
        <v>36</v>
      </c>
      <c r="D11" s="64">
        <v>0</v>
      </c>
      <c r="E11" s="64">
        <v>5</v>
      </c>
      <c r="F11" s="65" t="s">
        <v>41</v>
      </c>
    </row>
    <row r="12" spans="1:6" x14ac:dyDescent="0.25">
      <c r="A12" s="64" t="s">
        <v>104</v>
      </c>
      <c r="B12" s="64" t="s">
        <v>105</v>
      </c>
      <c r="C12" s="64" t="s">
        <v>36</v>
      </c>
      <c r="D12" s="64">
        <v>0</v>
      </c>
      <c r="E12" s="64">
        <v>5</v>
      </c>
      <c r="F12" s="65" t="s">
        <v>41</v>
      </c>
    </row>
    <row r="13" spans="1:6" x14ac:dyDescent="0.25">
      <c r="A13" s="64" t="s">
        <v>106</v>
      </c>
      <c r="B13" s="64" t="s">
        <v>107</v>
      </c>
      <c r="C13" s="64" t="s">
        <v>36</v>
      </c>
      <c r="D13" s="64">
        <v>0</v>
      </c>
      <c r="E13" s="64">
        <v>5</v>
      </c>
      <c r="F13" s="65" t="s">
        <v>41</v>
      </c>
    </row>
    <row r="14" spans="1:6" x14ac:dyDescent="0.25">
      <c r="A14" s="64" t="s">
        <v>108</v>
      </c>
      <c r="B14" s="64" t="s">
        <v>109</v>
      </c>
      <c r="C14" s="64" t="s">
        <v>36</v>
      </c>
      <c r="D14" s="64">
        <v>0</v>
      </c>
      <c r="E14" s="64">
        <v>5</v>
      </c>
      <c r="F14" s="65" t="s">
        <v>41</v>
      </c>
    </row>
    <row r="15" spans="1:6" x14ac:dyDescent="0.25">
      <c r="A15" s="64" t="s">
        <v>110</v>
      </c>
      <c r="B15" s="64" t="s">
        <v>111</v>
      </c>
      <c r="C15" s="64" t="s">
        <v>36</v>
      </c>
      <c r="D15" s="64">
        <v>0</v>
      </c>
      <c r="E15" s="64">
        <v>5</v>
      </c>
      <c r="F15" s="65" t="s">
        <v>41</v>
      </c>
    </row>
    <row r="16" spans="1:6" x14ac:dyDescent="0.25">
      <c r="A16" s="66" t="s">
        <v>112</v>
      </c>
      <c r="B16" s="66" t="s">
        <v>113</v>
      </c>
      <c r="C16" s="66" t="s">
        <v>36</v>
      </c>
      <c r="D16" s="66">
        <v>4</v>
      </c>
      <c r="E16" s="66">
        <v>5</v>
      </c>
      <c r="F16" s="67" t="s">
        <v>39</v>
      </c>
    </row>
    <row r="17" spans="1:6" x14ac:dyDescent="0.25">
      <c r="A17" s="64" t="s">
        <v>114</v>
      </c>
      <c r="B17" s="64" t="s">
        <v>115</v>
      </c>
      <c r="C17" s="64" t="s">
        <v>36</v>
      </c>
      <c r="D17" s="64">
        <v>0</v>
      </c>
      <c r="E17" s="64">
        <v>5</v>
      </c>
      <c r="F17" s="65" t="s">
        <v>41</v>
      </c>
    </row>
    <row r="18" spans="1:6" x14ac:dyDescent="0.25">
      <c r="A18" s="64" t="s">
        <v>116</v>
      </c>
      <c r="B18" s="64" t="s">
        <v>117</v>
      </c>
      <c r="C18" s="64" t="s">
        <v>36</v>
      </c>
      <c r="D18" s="64">
        <v>0</v>
      </c>
      <c r="E18" s="64">
        <v>5</v>
      </c>
      <c r="F18" s="65" t="s">
        <v>41</v>
      </c>
    </row>
    <row r="19" spans="1:6" x14ac:dyDescent="0.25">
      <c r="A19" s="64" t="s">
        <v>118</v>
      </c>
      <c r="B19" s="64" t="s">
        <v>119</v>
      </c>
      <c r="C19" s="64" t="s">
        <v>36</v>
      </c>
      <c r="D19" s="64">
        <v>0</v>
      </c>
      <c r="E19" s="64">
        <v>5</v>
      </c>
      <c r="F19" s="65" t="s">
        <v>41</v>
      </c>
    </row>
    <row r="20" spans="1:6" x14ac:dyDescent="0.25">
      <c r="A20" s="64" t="s">
        <v>122</v>
      </c>
      <c r="B20" s="64" t="s">
        <v>123</v>
      </c>
      <c r="C20" s="64" t="s">
        <v>36</v>
      </c>
      <c r="D20" s="64">
        <v>0</v>
      </c>
      <c r="E20" s="64">
        <v>5</v>
      </c>
      <c r="F20" s="65" t="s">
        <v>41</v>
      </c>
    </row>
    <row r="21" spans="1:6" x14ac:dyDescent="0.25">
      <c r="A21" s="64" t="s">
        <v>124</v>
      </c>
      <c r="B21" s="64" t="s">
        <v>125</v>
      </c>
      <c r="C21" s="64" t="s">
        <v>36</v>
      </c>
      <c r="D21" s="64">
        <v>0</v>
      </c>
      <c r="E21" s="64">
        <v>5</v>
      </c>
      <c r="F21" s="65" t="s">
        <v>41</v>
      </c>
    </row>
    <row r="22" spans="1:6" x14ac:dyDescent="0.25">
      <c r="A22" s="64" t="s">
        <v>126</v>
      </c>
      <c r="B22" s="64" t="s">
        <v>127</v>
      </c>
      <c r="C22" s="64" t="s">
        <v>36</v>
      </c>
      <c r="D22" s="64">
        <v>0</v>
      </c>
      <c r="E22" s="64">
        <v>5</v>
      </c>
      <c r="F22" s="65" t="s">
        <v>41</v>
      </c>
    </row>
    <row r="23" spans="1:6" x14ac:dyDescent="0.25">
      <c r="A23" s="64" t="s">
        <v>128</v>
      </c>
      <c r="B23" s="64" t="s">
        <v>129</v>
      </c>
      <c r="C23" s="64" t="s">
        <v>36</v>
      </c>
      <c r="D23" s="64">
        <v>0</v>
      </c>
      <c r="E23" s="64">
        <v>5</v>
      </c>
      <c r="F23" s="65" t="s">
        <v>41</v>
      </c>
    </row>
    <row r="24" spans="1:6" x14ac:dyDescent="0.25">
      <c r="A24" s="64" t="s">
        <v>130</v>
      </c>
      <c r="B24" s="64" t="s">
        <v>131</v>
      </c>
      <c r="C24" s="64" t="s">
        <v>36</v>
      </c>
      <c r="D24" s="64">
        <v>0</v>
      </c>
      <c r="E24" s="64">
        <v>5</v>
      </c>
      <c r="F24" s="65" t="s">
        <v>41</v>
      </c>
    </row>
    <row r="25" spans="1:6" x14ac:dyDescent="0.25">
      <c r="A25" s="64" t="s">
        <v>134</v>
      </c>
      <c r="B25" s="64" t="s">
        <v>135</v>
      </c>
      <c r="C25" s="64" t="s">
        <v>36</v>
      </c>
      <c r="D25" s="64">
        <v>0</v>
      </c>
      <c r="E25" s="64">
        <v>5</v>
      </c>
      <c r="F25" s="65" t="s">
        <v>41</v>
      </c>
    </row>
    <row r="26" spans="1:6" x14ac:dyDescent="0.25">
      <c r="A26" s="64" t="s">
        <v>138</v>
      </c>
      <c r="B26" s="64" t="s">
        <v>139</v>
      </c>
      <c r="C26" s="64" t="s">
        <v>36</v>
      </c>
      <c r="D26" s="64">
        <v>0</v>
      </c>
      <c r="E26" s="64">
        <v>5</v>
      </c>
      <c r="F26" s="65" t="s">
        <v>41</v>
      </c>
    </row>
    <row r="27" spans="1:6" x14ac:dyDescent="0.25">
      <c r="A27" s="64" t="s">
        <v>140</v>
      </c>
      <c r="B27" s="64" t="s">
        <v>141</v>
      </c>
      <c r="C27" s="64" t="s">
        <v>36</v>
      </c>
      <c r="D27" s="64">
        <v>0</v>
      </c>
      <c r="E27" s="64">
        <v>5</v>
      </c>
      <c r="F27" s="65" t="s">
        <v>41</v>
      </c>
    </row>
    <row r="28" spans="1:6" x14ac:dyDescent="0.25">
      <c r="A28" s="64" t="s">
        <v>142</v>
      </c>
      <c r="B28" s="64" t="s">
        <v>143</v>
      </c>
      <c r="C28" s="64" t="s">
        <v>36</v>
      </c>
      <c r="D28" s="64">
        <v>0</v>
      </c>
      <c r="E28" s="64">
        <v>5</v>
      </c>
      <c r="F28" s="65" t="s">
        <v>41</v>
      </c>
    </row>
    <row r="29" spans="1:6" x14ac:dyDescent="0.25">
      <c r="A29" s="64" t="s">
        <v>144</v>
      </c>
      <c r="B29" s="64" t="s">
        <v>145</v>
      </c>
      <c r="C29" s="64" t="s">
        <v>36</v>
      </c>
      <c r="D29" s="64">
        <v>0</v>
      </c>
      <c r="E29" s="64">
        <v>5</v>
      </c>
      <c r="F29" s="65" t="s">
        <v>41</v>
      </c>
    </row>
    <row r="30" spans="1:6" x14ac:dyDescent="0.25">
      <c r="A30" s="64" t="s">
        <v>146</v>
      </c>
      <c r="B30" s="64" t="s">
        <v>147</v>
      </c>
      <c r="C30" s="64" t="s">
        <v>36</v>
      </c>
      <c r="D30" s="64">
        <v>0</v>
      </c>
      <c r="E30" s="64">
        <v>5</v>
      </c>
      <c r="F30" s="65" t="s">
        <v>41</v>
      </c>
    </row>
    <row r="31" spans="1:6" x14ac:dyDescent="0.25">
      <c r="A31" s="64" t="s">
        <v>148</v>
      </c>
      <c r="B31" s="64" t="s">
        <v>149</v>
      </c>
      <c r="C31" s="64" t="s">
        <v>36</v>
      </c>
      <c r="D31" s="64">
        <v>0</v>
      </c>
      <c r="E31" s="64">
        <v>5</v>
      </c>
      <c r="F31" s="65" t="s">
        <v>41</v>
      </c>
    </row>
    <row r="32" spans="1:6" x14ac:dyDescent="0.25">
      <c r="A32" s="64" t="s">
        <v>150</v>
      </c>
      <c r="B32" s="64" t="s">
        <v>151</v>
      </c>
      <c r="C32" s="64" t="s">
        <v>36</v>
      </c>
      <c r="D32" s="64">
        <v>0</v>
      </c>
      <c r="E32" s="64">
        <v>5</v>
      </c>
      <c r="F32" s="65" t="s">
        <v>41</v>
      </c>
    </row>
    <row r="33" spans="1:6" x14ac:dyDescent="0.25">
      <c r="A33" s="64" t="s">
        <v>152</v>
      </c>
      <c r="B33" s="64" t="s">
        <v>153</v>
      </c>
      <c r="C33" s="64" t="s">
        <v>36</v>
      </c>
      <c r="D33" s="64">
        <v>0</v>
      </c>
      <c r="E33" s="64">
        <v>5</v>
      </c>
      <c r="F33" s="65" t="s">
        <v>41</v>
      </c>
    </row>
    <row r="34" spans="1:6" x14ac:dyDescent="0.25">
      <c r="A34" s="64" t="s">
        <v>154</v>
      </c>
      <c r="B34" s="64" t="s">
        <v>155</v>
      </c>
      <c r="C34" s="64" t="s">
        <v>36</v>
      </c>
      <c r="D34" s="64">
        <v>0</v>
      </c>
      <c r="E34" s="64">
        <v>5</v>
      </c>
      <c r="F34" s="65" t="s">
        <v>41</v>
      </c>
    </row>
    <row r="35" spans="1:6" x14ac:dyDescent="0.25">
      <c r="A35" s="64" t="s">
        <v>156</v>
      </c>
      <c r="B35" s="64" t="s">
        <v>157</v>
      </c>
      <c r="C35" s="64" t="s">
        <v>36</v>
      </c>
      <c r="D35" s="64">
        <v>0</v>
      </c>
      <c r="E35" s="64">
        <v>5</v>
      </c>
      <c r="F35" s="65" t="s">
        <v>41</v>
      </c>
    </row>
    <row r="36" spans="1:6" x14ac:dyDescent="0.25">
      <c r="A36" s="64" t="s">
        <v>158</v>
      </c>
      <c r="B36" s="64" t="s">
        <v>159</v>
      </c>
      <c r="C36" s="64" t="s">
        <v>36</v>
      </c>
      <c r="D36" s="64">
        <v>0</v>
      </c>
      <c r="E36" s="64">
        <v>5</v>
      </c>
      <c r="F36" s="65" t="s">
        <v>41</v>
      </c>
    </row>
    <row r="37" spans="1:6" x14ac:dyDescent="0.25">
      <c r="A37" s="64" t="s">
        <v>160</v>
      </c>
      <c r="B37" s="64" t="s">
        <v>161</v>
      </c>
      <c r="C37" s="64" t="s">
        <v>36</v>
      </c>
      <c r="D37" s="64">
        <v>0</v>
      </c>
      <c r="E37" s="64">
        <v>5</v>
      </c>
      <c r="F37" s="65" t="s">
        <v>41</v>
      </c>
    </row>
    <row r="38" spans="1:6" x14ac:dyDescent="0.25">
      <c r="A38" s="64" t="s">
        <v>162</v>
      </c>
      <c r="B38" s="64" t="s">
        <v>163</v>
      </c>
      <c r="C38" s="64" t="s">
        <v>36</v>
      </c>
      <c r="D38" s="64">
        <v>0</v>
      </c>
      <c r="E38" s="64">
        <v>5</v>
      </c>
      <c r="F38" s="65" t="s">
        <v>41</v>
      </c>
    </row>
    <row r="39" spans="1:6" x14ac:dyDescent="0.25">
      <c r="A39" s="66" t="s">
        <v>164</v>
      </c>
      <c r="B39" s="66" t="s">
        <v>165</v>
      </c>
      <c r="C39" s="66" t="s">
        <v>36</v>
      </c>
      <c r="D39" s="66">
        <v>5</v>
      </c>
      <c r="E39" s="66">
        <v>5</v>
      </c>
      <c r="F39" s="67" t="s">
        <v>39</v>
      </c>
    </row>
    <row r="40" spans="1:6" x14ac:dyDescent="0.25">
      <c r="A40" s="64" t="s">
        <v>166</v>
      </c>
      <c r="B40" s="64" t="s">
        <v>167</v>
      </c>
      <c r="C40" s="64" t="s">
        <v>36</v>
      </c>
      <c r="D40" s="64">
        <v>0</v>
      </c>
      <c r="E40" s="64">
        <v>5</v>
      </c>
      <c r="F40" s="65" t="s">
        <v>41</v>
      </c>
    </row>
    <row r="41" spans="1:6" x14ac:dyDescent="0.25">
      <c r="A41" s="64" t="s">
        <v>168</v>
      </c>
      <c r="B41" s="64" t="s">
        <v>169</v>
      </c>
      <c r="C41" s="64" t="s">
        <v>36</v>
      </c>
      <c r="D41" s="64">
        <v>0</v>
      </c>
      <c r="E41" s="64">
        <v>5</v>
      </c>
      <c r="F41" s="65" t="s">
        <v>41</v>
      </c>
    </row>
    <row r="42" spans="1:6" x14ac:dyDescent="0.25">
      <c r="A42" s="64" t="s">
        <v>170</v>
      </c>
      <c r="B42" s="64" t="s">
        <v>171</v>
      </c>
      <c r="C42" s="64" t="s">
        <v>36</v>
      </c>
      <c r="D42" s="64">
        <v>0</v>
      </c>
      <c r="E42" s="64">
        <v>5</v>
      </c>
      <c r="F42" s="65" t="s">
        <v>41</v>
      </c>
    </row>
    <row r="43" spans="1:6" x14ac:dyDescent="0.25">
      <c r="A43" s="64" t="s">
        <v>172</v>
      </c>
      <c r="B43" s="64" t="s">
        <v>173</v>
      </c>
      <c r="C43" s="64" t="s">
        <v>36</v>
      </c>
      <c r="D43" s="64">
        <v>0</v>
      </c>
      <c r="E43" s="64">
        <v>5</v>
      </c>
      <c r="F43" s="65" t="s">
        <v>41</v>
      </c>
    </row>
    <row r="44" spans="1:6" x14ac:dyDescent="0.25">
      <c r="A44" s="64" t="s">
        <v>174</v>
      </c>
      <c r="B44" s="64" t="s">
        <v>175</v>
      </c>
      <c r="C44" s="64" t="s">
        <v>36</v>
      </c>
      <c r="D44" s="64">
        <v>0</v>
      </c>
      <c r="E44" s="64">
        <v>5</v>
      </c>
      <c r="F44" s="65" t="s">
        <v>41</v>
      </c>
    </row>
    <row r="45" spans="1:6" x14ac:dyDescent="0.25">
      <c r="A45" s="64" t="s">
        <v>176</v>
      </c>
      <c r="B45" s="64" t="s">
        <v>177</v>
      </c>
      <c r="C45" s="64" t="s">
        <v>36</v>
      </c>
      <c r="D45" s="64">
        <v>0</v>
      </c>
      <c r="E45" s="64">
        <v>5</v>
      </c>
      <c r="F45" s="65" t="s">
        <v>41</v>
      </c>
    </row>
    <row r="46" spans="1:6" x14ac:dyDescent="0.25">
      <c r="A46" s="64" t="s">
        <v>180</v>
      </c>
      <c r="B46" s="64" t="s">
        <v>181</v>
      </c>
      <c r="C46" s="64" t="s">
        <v>36</v>
      </c>
      <c r="D46" s="64">
        <v>0</v>
      </c>
      <c r="E46" s="64">
        <v>5</v>
      </c>
      <c r="F46" s="65" t="s">
        <v>41</v>
      </c>
    </row>
    <row r="47" spans="1:6" x14ac:dyDescent="0.25">
      <c r="A47" s="64" t="s">
        <v>182</v>
      </c>
      <c r="B47" s="64" t="s">
        <v>183</v>
      </c>
      <c r="C47" s="64" t="s">
        <v>36</v>
      </c>
      <c r="D47" s="64">
        <v>0</v>
      </c>
      <c r="E47" s="64">
        <v>5</v>
      </c>
      <c r="F47" s="65" t="s">
        <v>41</v>
      </c>
    </row>
    <row r="48" spans="1:6" x14ac:dyDescent="0.25">
      <c r="A48" s="64" t="s">
        <v>184</v>
      </c>
      <c r="B48" s="64" t="s">
        <v>185</v>
      </c>
      <c r="C48" s="64" t="s">
        <v>36</v>
      </c>
      <c r="D48" s="64">
        <v>0</v>
      </c>
      <c r="E48" s="64">
        <v>5</v>
      </c>
      <c r="F48" s="65" t="s">
        <v>41</v>
      </c>
    </row>
    <row r="49" spans="1:6" x14ac:dyDescent="0.25">
      <c r="A49" s="64" t="s">
        <v>186</v>
      </c>
      <c r="B49" s="64" t="s">
        <v>187</v>
      </c>
      <c r="C49" s="64" t="s">
        <v>36</v>
      </c>
      <c r="D49" s="64">
        <v>0</v>
      </c>
      <c r="E49" s="64">
        <v>5</v>
      </c>
      <c r="F49" s="65" t="s">
        <v>41</v>
      </c>
    </row>
    <row r="50" spans="1:6" x14ac:dyDescent="0.25">
      <c r="A50" s="64" t="s">
        <v>190</v>
      </c>
      <c r="B50" s="64" t="s">
        <v>191</v>
      </c>
      <c r="C50" s="64" t="s">
        <v>36</v>
      </c>
      <c r="D50" s="64">
        <v>0</v>
      </c>
      <c r="E50" s="64">
        <v>5</v>
      </c>
      <c r="F50" s="65" t="s">
        <v>41</v>
      </c>
    </row>
    <row r="51" spans="1:6" x14ac:dyDescent="0.25">
      <c r="A51" s="64" t="s">
        <v>194</v>
      </c>
      <c r="B51" s="64" t="s">
        <v>195</v>
      </c>
      <c r="C51" s="64" t="s">
        <v>36</v>
      </c>
      <c r="D51" s="64">
        <v>0</v>
      </c>
      <c r="E51" s="64">
        <v>5</v>
      </c>
      <c r="F51" s="65" t="s">
        <v>41</v>
      </c>
    </row>
    <row r="52" spans="1:6" x14ac:dyDescent="0.25">
      <c r="A52" s="64" t="s">
        <v>200</v>
      </c>
      <c r="B52" s="64" t="s">
        <v>201</v>
      </c>
      <c r="C52" s="64" t="s">
        <v>36</v>
      </c>
      <c r="D52" s="64">
        <v>0</v>
      </c>
      <c r="E52" s="64">
        <v>5</v>
      </c>
      <c r="F52" s="65" t="s">
        <v>41</v>
      </c>
    </row>
    <row r="53" spans="1:6" x14ac:dyDescent="0.25">
      <c r="A53" s="64" t="s">
        <v>202</v>
      </c>
      <c r="B53" s="64" t="s">
        <v>203</v>
      </c>
      <c r="C53" s="64" t="s">
        <v>36</v>
      </c>
      <c r="D53" s="64">
        <v>0</v>
      </c>
      <c r="E53" s="64">
        <v>5</v>
      </c>
      <c r="F53" s="65" t="s">
        <v>41</v>
      </c>
    </row>
    <row r="54" spans="1:6" x14ac:dyDescent="0.25">
      <c r="A54" s="64" t="s">
        <v>208</v>
      </c>
      <c r="B54" s="64" t="s">
        <v>209</v>
      </c>
      <c r="C54" s="64" t="s">
        <v>36</v>
      </c>
      <c r="D54" s="64">
        <v>0</v>
      </c>
      <c r="E54" s="64">
        <v>5</v>
      </c>
      <c r="F54" s="65" t="s">
        <v>41</v>
      </c>
    </row>
    <row r="55" spans="1:6" x14ac:dyDescent="0.25">
      <c r="A55" s="64" t="s">
        <v>210</v>
      </c>
      <c r="B55" s="64" t="s">
        <v>211</v>
      </c>
      <c r="C55" s="64" t="s">
        <v>36</v>
      </c>
      <c r="D55" s="64">
        <v>0</v>
      </c>
      <c r="E55" s="64">
        <v>5</v>
      </c>
      <c r="F55" s="65" t="s">
        <v>41</v>
      </c>
    </row>
    <row r="56" spans="1:6" x14ac:dyDescent="0.25">
      <c r="A56" s="64" t="s">
        <v>212</v>
      </c>
      <c r="B56" s="64" t="s">
        <v>213</v>
      </c>
      <c r="C56" s="64" t="s">
        <v>36</v>
      </c>
      <c r="D56" s="64">
        <v>0</v>
      </c>
      <c r="E56" s="64">
        <v>5</v>
      </c>
      <c r="F56" s="65" t="s">
        <v>41</v>
      </c>
    </row>
    <row r="57" spans="1:6" x14ac:dyDescent="0.25">
      <c r="A57" s="64" t="s">
        <v>214</v>
      </c>
      <c r="B57" s="64" t="s">
        <v>215</v>
      </c>
      <c r="C57" s="64" t="s">
        <v>36</v>
      </c>
      <c r="D57" s="64">
        <v>0</v>
      </c>
      <c r="E57" s="64">
        <v>5</v>
      </c>
      <c r="F57" s="65" t="s">
        <v>41</v>
      </c>
    </row>
    <row r="58" spans="1:6" x14ac:dyDescent="0.25">
      <c r="A58" s="64" t="s">
        <v>216</v>
      </c>
      <c r="B58" s="64" t="s">
        <v>217</v>
      </c>
      <c r="C58" s="64" t="s">
        <v>36</v>
      </c>
      <c r="D58" s="64">
        <v>0</v>
      </c>
      <c r="E58" s="64">
        <v>5</v>
      </c>
      <c r="F58" s="65" t="s">
        <v>41</v>
      </c>
    </row>
    <row r="59" spans="1:6" x14ac:dyDescent="0.25">
      <c r="A59" s="64" t="s">
        <v>218</v>
      </c>
      <c r="B59" s="64" t="s">
        <v>219</v>
      </c>
      <c r="C59" s="64" t="s">
        <v>36</v>
      </c>
      <c r="D59" s="64">
        <v>0</v>
      </c>
      <c r="E59" s="64">
        <v>5</v>
      </c>
      <c r="F59" s="65" t="s">
        <v>41</v>
      </c>
    </row>
    <row r="60" spans="1:6" x14ac:dyDescent="0.25">
      <c r="A60" s="64" t="s">
        <v>220</v>
      </c>
      <c r="B60" s="64" t="s">
        <v>221</v>
      </c>
      <c r="C60" s="64" t="s">
        <v>36</v>
      </c>
      <c r="D60" s="64">
        <v>0</v>
      </c>
      <c r="E60" s="64">
        <v>5</v>
      </c>
      <c r="F60" s="65" t="s">
        <v>41</v>
      </c>
    </row>
    <row r="61" spans="1:6" x14ac:dyDescent="0.25">
      <c r="A61" s="64" t="s">
        <v>222</v>
      </c>
      <c r="B61" s="64" t="s">
        <v>223</v>
      </c>
      <c r="C61" s="64" t="s">
        <v>36</v>
      </c>
      <c r="D61" s="64">
        <v>0</v>
      </c>
      <c r="E61" s="64">
        <v>5</v>
      </c>
      <c r="F61" s="65" t="s">
        <v>41</v>
      </c>
    </row>
    <row r="62" spans="1:6" x14ac:dyDescent="0.25">
      <c r="A62" s="64" t="s">
        <v>224</v>
      </c>
      <c r="B62" s="64" t="s">
        <v>225</v>
      </c>
      <c r="C62" s="64" t="s">
        <v>36</v>
      </c>
      <c r="D62" s="64">
        <v>0</v>
      </c>
      <c r="E62" s="64">
        <v>5</v>
      </c>
      <c r="F62" s="65" t="s">
        <v>41</v>
      </c>
    </row>
    <row r="63" spans="1:6" x14ac:dyDescent="0.25">
      <c r="A63" s="64" t="s">
        <v>226</v>
      </c>
      <c r="B63" s="64" t="s">
        <v>227</v>
      </c>
      <c r="C63" s="64" t="s">
        <v>36</v>
      </c>
      <c r="D63" s="64">
        <v>0</v>
      </c>
      <c r="E63" s="64">
        <v>5</v>
      </c>
      <c r="F63" s="65" t="s">
        <v>41</v>
      </c>
    </row>
    <row r="64" spans="1:6" x14ac:dyDescent="0.25">
      <c r="A64" s="64" t="s">
        <v>228</v>
      </c>
      <c r="B64" s="64" t="s">
        <v>229</v>
      </c>
      <c r="C64" s="64" t="s">
        <v>36</v>
      </c>
      <c r="D64" s="64">
        <v>0</v>
      </c>
      <c r="E64" s="64">
        <v>5</v>
      </c>
      <c r="F64" s="65" t="s">
        <v>41</v>
      </c>
    </row>
    <row r="65" spans="1:6" x14ac:dyDescent="0.25">
      <c r="A65" s="64" t="s">
        <v>230</v>
      </c>
      <c r="B65" s="64" t="s">
        <v>231</v>
      </c>
      <c r="C65" s="64" t="s">
        <v>36</v>
      </c>
      <c r="D65" s="64">
        <v>0</v>
      </c>
      <c r="E65" s="64">
        <v>5</v>
      </c>
      <c r="F65" s="65" t="s">
        <v>41</v>
      </c>
    </row>
    <row r="66" spans="1:6" x14ac:dyDescent="0.25">
      <c r="A66" s="64" t="s">
        <v>232</v>
      </c>
      <c r="B66" s="64" t="s">
        <v>233</v>
      </c>
      <c r="C66" s="64" t="s">
        <v>36</v>
      </c>
      <c r="D66" s="64">
        <v>0</v>
      </c>
      <c r="E66" s="64">
        <v>5</v>
      </c>
      <c r="F66" s="65" t="s">
        <v>41</v>
      </c>
    </row>
    <row r="67" spans="1:6" x14ac:dyDescent="0.25">
      <c r="A67" s="64" t="s">
        <v>234</v>
      </c>
      <c r="B67" s="64" t="s">
        <v>235</v>
      </c>
      <c r="C67" s="64" t="s">
        <v>36</v>
      </c>
      <c r="D67" s="64">
        <v>0</v>
      </c>
      <c r="E67" s="64">
        <v>5</v>
      </c>
      <c r="F67" s="65" t="s">
        <v>41</v>
      </c>
    </row>
    <row r="68" spans="1:6" x14ac:dyDescent="0.25">
      <c r="A68" s="64" t="s">
        <v>236</v>
      </c>
      <c r="B68" s="64" t="s">
        <v>237</v>
      </c>
      <c r="C68" s="64" t="s">
        <v>36</v>
      </c>
      <c r="D68" s="64">
        <v>0</v>
      </c>
      <c r="E68" s="64">
        <v>5</v>
      </c>
      <c r="F68" s="65" t="s">
        <v>41</v>
      </c>
    </row>
    <row r="69" spans="1:6" x14ac:dyDescent="0.25">
      <c r="A69" s="64" t="s">
        <v>238</v>
      </c>
      <c r="B69" s="64" t="s">
        <v>239</v>
      </c>
      <c r="C69" s="64" t="s">
        <v>36</v>
      </c>
      <c r="D69" s="64">
        <v>0</v>
      </c>
      <c r="E69" s="64">
        <v>5</v>
      </c>
      <c r="F69" s="65" t="s">
        <v>41</v>
      </c>
    </row>
    <row r="70" spans="1:6" x14ac:dyDescent="0.25">
      <c r="A70" s="64" t="s">
        <v>240</v>
      </c>
      <c r="B70" s="64" t="s">
        <v>241</v>
      </c>
      <c r="C70" s="64" t="s">
        <v>36</v>
      </c>
      <c r="D70" s="64">
        <v>0</v>
      </c>
      <c r="E70" s="64">
        <v>5</v>
      </c>
      <c r="F70" s="65" t="s">
        <v>41</v>
      </c>
    </row>
    <row r="71" spans="1:6" x14ac:dyDescent="0.25">
      <c r="A71" s="64" t="s">
        <v>242</v>
      </c>
      <c r="B71" s="64" t="s">
        <v>243</v>
      </c>
      <c r="C71" s="64" t="s">
        <v>36</v>
      </c>
      <c r="D71" s="64">
        <v>0</v>
      </c>
      <c r="E71" s="64">
        <v>5</v>
      </c>
      <c r="F71" s="65" t="s">
        <v>41</v>
      </c>
    </row>
    <row r="72" spans="1:6" x14ac:dyDescent="0.25">
      <c r="A72" s="64" t="s">
        <v>244</v>
      </c>
      <c r="B72" s="64" t="s">
        <v>245</v>
      </c>
      <c r="C72" s="64" t="s">
        <v>36</v>
      </c>
      <c r="D72" s="64">
        <v>0</v>
      </c>
      <c r="E72" s="64">
        <v>5</v>
      </c>
      <c r="F72" s="65" t="s">
        <v>41</v>
      </c>
    </row>
    <row r="73" spans="1:6" x14ac:dyDescent="0.25">
      <c r="A73" s="64" t="s">
        <v>246</v>
      </c>
      <c r="B73" s="64" t="s">
        <v>247</v>
      </c>
      <c r="C73" s="64" t="s">
        <v>36</v>
      </c>
      <c r="D73" s="64">
        <v>0</v>
      </c>
      <c r="E73" s="64">
        <v>5</v>
      </c>
      <c r="F73" s="65" t="s">
        <v>41</v>
      </c>
    </row>
    <row r="74" spans="1:6" x14ac:dyDescent="0.25">
      <c r="A74" s="64" t="s">
        <v>248</v>
      </c>
      <c r="B74" s="64" t="s">
        <v>249</v>
      </c>
      <c r="C74" s="64" t="s">
        <v>36</v>
      </c>
      <c r="D74" s="64">
        <v>0</v>
      </c>
      <c r="E74" s="64">
        <v>5</v>
      </c>
      <c r="F74" s="65" t="s">
        <v>41</v>
      </c>
    </row>
    <row r="75" spans="1:6" x14ac:dyDescent="0.25">
      <c r="A75" s="64" t="s">
        <v>250</v>
      </c>
      <c r="B75" s="64" t="s">
        <v>251</v>
      </c>
      <c r="C75" s="64" t="s">
        <v>36</v>
      </c>
      <c r="D75" s="64">
        <v>0</v>
      </c>
      <c r="E75" s="64">
        <v>5</v>
      </c>
      <c r="F75" s="65" t="s">
        <v>41</v>
      </c>
    </row>
    <row r="76" spans="1:6" x14ac:dyDescent="0.25">
      <c r="A76" s="64" t="s">
        <v>252</v>
      </c>
      <c r="B76" s="64" t="s">
        <v>253</v>
      </c>
      <c r="C76" s="64" t="s">
        <v>36</v>
      </c>
      <c r="D76" s="64">
        <v>0</v>
      </c>
      <c r="E76" s="64">
        <v>5</v>
      </c>
      <c r="F76" s="65" t="s">
        <v>41</v>
      </c>
    </row>
    <row r="77" spans="1:6" x14ac:dyDescent="0.25">
      <c r="A77" s="64" t="s">
        <v>254</v>
      </c>
      <c r="B77" s="64" t="s">
        <v>255</v>
      </c>
      <c r="C77" s="64" t="s">
        <v>36</v>
      </c>
      <c r="D77" s="64">
        <v>0</v>
      </c>
      <c r="E77" s="64">
        <v>5</v>
      </c>
      <c r="F77" s="65" t="s">
        <v>41</v>
      </c>
    </row>
    <row r="78" spans="1:6" x14ac:dyDescent="0.25">
      <c r="A78" s="64" t="s">
        <v>256</v>
      </c>
      <c r="B78" s="64" t="s">
        <v>257</v>
      </c>
      <c r="C78" s="64" t="s">
        <v>36</v>
      </c>
      <c r="D78" s="64">
        <v>0</v>
      </c>
      <c r="E78" s="64">
        <v>5</v>
      </c>
      <c r="F78" s="65" t="s">
        <v>41</v>
      </c>
    </row>
    <row r="79" spans="1:6" x14ac:dyDescent="0.25">
      <c r="A79" s="64" t="s">
        <v>258</v>
      </c>
      <c r="B79" s="64" t="s">
        <v>259</v>
      </c>
      <c r="C79" s="64" t="s">
        <v>36</v>
      </c>
      <c r="D79" s="64">
        <v>0</v>
      </c>
      <c r="E79" s="64">
        <v>5</v>
      </c>
      <c r="F79" s="65" t="s">
        <v>41</v>
      </c>
    </row>
    <row r="80" spans="1:6" x14ac:dyDescent="0.25">
      <c r="A80" s="64" t="s">
        <v>260</v>
      </c>
      <c r="B80" s="64" t="s">
        <v>261</v>
      </c>
      <c r="C80" s="64" t="s">
        <v>36</v>
      </c>
      <c r="D80" s="64">
        <v>0</v>
      </c>
      <c r="E80" s="64">
        <v>5</v>
      </c>
      <c r="F80" s="65" t="s">
        <v>41</v>
      </c>
    </row>
    <row r="81" spans="1:6" x14ac:dyDescent="0.25">
      <c r="A81" s="64" t="s">
        <v>262</v>
      </c>
      <c r="B81" s="64" t="s">
        <v>263</v>
      </c>
      <c r="C81" s="64" t="s">
        <v>36</v>
      </c>
      <c r="D81" s="64">
        <v>0</v>
      </c>
      <c r="E81" s="64">
        <v>5</v>
      </c>
      <c r="F81" s="65" t="s">
        <v>41</v>
      </c>
    </row>
    <row r="82" spans="1:6" x14ac:dyDescent="0.25">
      <c r="A82" s="64" t="s">
        <v>264</v>
      </c>
      <c r="B82" s="64" t="s">
        <v>265</v>
      </c>
      <c r="C82" s="64" t="s">
        <v>36</v>
      </c>
      <c r="D82" s="64">
        <v>0</v>
      </c>
      <c r="E82" s="64">
        <v>5</v>
      </c>
      <c r="F82" s="65" t="s">
        <v>41</v>
      </c>
    </row>
    <row r="83" spans="1:6" x14ac:dyDescent="0.25">
      <c r="A83" s="64" t="s">
        <v>266</v>
      </c>
      <c r="B83" s="64" t="s">
        <v>267</v>
      </c>
      <c r="C83" s="64" t="s">
        <v>36</v>
      </c>
      <c r="D83" s="64">
        <v>0</v>
      </c>
      <c r="E83" s="64">
        <v>5</v>
      </c>
      <c r="F83" s="65" t="s">
        <v>41</v>
      </c>
    </row>
    <row r="84" spans="1:6" x14ac:dyDescent="0.25">
      <c r="A84" s="64" t="s">
        <v>268</v>
      </c>
      <c r="B84" s="64" t="s">
        <v>269</v>
      </c>
      <c r="C84" s="64" t="s">
        <v>36</v>
      </c>
      <c r="D84" s="64">
        <v>0</v>
      </c>
      <c r="E84" s="64">
        <v>5</v>
      </c>
      <c r="F84" s="65" t="s">
        <v>41</v>
      </c>
    </row>
    <row r="85" spans="1:6" x14ac:dyDescent="0.25">
      <c r="A85" s="64" t="s">
        <v>270</v>
      </c>
      <c r="B85" s="64" t="s">
        <v>271</v>
      </c>
      <c r="C85" s="64" t="s">
        <v>36</v>
      </c>
      <c r="D85" s="64">
        <v>0</v>
      </c>
      <c r="E85" s="64">
        <v>5</v>
      </c>
      <c r="F85" s="65" t="s">
        <v>41</v>
      </c>
    </row>
    <row r="86" spans="1:6" x14ac:dyDescent="0.25">
      <c r="A86" s="64" t="s">
        <v>272</v>
      </c>
      <c r="B86" s="64" t="s">
        <v>273</v>
      </c>
      <c r="C86" s="64" t="s">
        <v>36</v>
      </c>
      <c r="D86" s="64">
        <v>0</v>
      </c>
      <c r="E86" s="64">
        <v>5</v>
      </c>
      <c r="F86" s="65" t="s">
        <v>41</v>
      </c>
    </row>
    <row r="87" spans="1:6" x14ac:dyDescent="0.25">
      <c r="A87" s="64" t="s">
        <v>274</v>
      </c>
      <c r="B87" s="64" t="s">
        <v>275</v>
      </c>
      <c r="C87" s="64" t="s">
        <v>36</v>
      </c>
      <c r="D87" s="64">
        <v>0</v>
      </c>
      <c r="E87" s="64">
        <v>5</v>
      </c>
      <c r="F87" s="65" t="s">
        <v>41</v>
      </c>
    </row>
    <row r="88" spans="1:6" x14ac:dyDescent="0.25">
      <c r="A88" s="64" t="s">
        <v>276</v>
      </c>
      <c r="B88" s="64" t="s">
        <v>277</v>
      </c>
      <c r="C88" s="64" t="s">
        <v>36</v>
      </c>
      <c r="D88" s="64">
        <v>0</v>
      </c>
      <c r="E88" s="64">
        <v>5</v>
      </c>
      <c r="F88" s="65" t="s">
        <v>41</v>
      </c>
    </row>
    <row r="89" spans="1:6" x14ac:dyDescent="0.25">
      <c r="A89" s="64" t="s">
        <v>278</v>
      </c>
      <c r="B89" s="64" t="s">
        <v>279</v>
      </c>
      <c r="C89" s="64" t="s">
        <v>36</v>
      </c>
      <c r="D89" s="64">
        <v>0</v>
      </c>
      <c r="E89" s="64">
        <v>5</v>
      </c>
      <c r="F89" s="65" t="s">
        <v>41</v>
      </c>
    </row>
    <row r="90" spans="1:6" x14ac:dyDescent="0.25">
      <c r="A90" s="64" t="s">
        <v>280</v>
      </c>
      <c r="B90" s="64" t="s">
        <v>281</v>
      </c>
      <c r="C90" s="64" t="s">
        <v>36</v>
      </c>
      <c r="D90" s="64">
        <v>0</v>
      </c>
      <c r="E90" s="64">
        <v>5</v>
      </c>
      <c r="F90" s="65" t="s">
        <v>41</v>
      </c>
    </row>
    <row r="91" spans="1:6" x14ac:dyDescent="0.25">
      <c r="A91" s="64" t="s">
        <v>284</v>
      </c>
      <c r="B91" s="64" t="s">
        <v>285</v>
      </c>
      <c r="C91" s="64" t="s">
        <v>36</v>
      </c>
      <c r="D91" s="64">
        <v>0</v>
      </c>
      <c r="E91" s="64">
        <v>5</v>
      </c>
      <c r="F91" s="65" t="s">
        <v>41</v>
      </c>
    </row>
    <row r="92" spans="1:6" x14ac:dyDescent="0.25">
      <c r="A92" s="64" t="s">
        <v>286</v>
      </c>
      <c r="B92" s="64" t="s">
        <v>287</v>
      </c>
      <c r="C92" s="64" t="s">
        <v>36</v>
      </c>
      <c r="D92" s="64">
        <v>0</v>
      </c>
      <c r="E92" s="64">
        <v>5</v>
      </c>
      <c r="F92" s="65" t="s">
        <v>41</v>
      </c>
    </row>
    <row r="93" spans="1:6" x14ac:dyDescent="0.25">
      <c r="A93" s="64" t="s">
        <v>288</v>
      </c>
      <c r="B93" s="64" t="s">
        <v>289</v>
      </c>
      <c r="C93" s="64" t="s">
        <v>36</v>
      </c>
      <c r="D93" s="64">
        <v>0</v>
      </c>
      <c r="E93" s="64">
        <v>5</v>
      </c>
      <c r="F93" s="65" t="s">
        <v>41</v>
      </c>
    </row>
    <row r="94" spans="1:6" x14ac:dyDescent="0.25">
      <c r="A94" s="64" t="s">
        <v>290</v>
      </c>
      <c r="B94" s="64" t="s">
        <v>291</v>
      </c>
      <c r="C94" s="64" t="s">
        <v>36</v>
      </c>
      <c r="D94" s="64">
        <v>0</v>
      </c>
      <c r="E94" s="64">
        <v>5</v>
      </c>
      <c r="F94" s="65" t="s">
        <v>41</v>
      </c>
    </row>
    <row r="95" spans="1:6" x14ac:dyDescent="0.25">
      <c r="A95" s="64" t="s">
        <v>292</v>
      </c>
      <c r="B95" s="64" t="s">
        <v>293</v>
      </c>
      <c r="C95" s="64" t="s">
        <v>36</v>
      </c>
      <c r="D95" s="64">
        <v>0</v>
      </c>
      <c r="E95" s="64">
        <v>5</v>
      </c>
      <c r="F95" s="65" t="s">
        <v>41</v>
      </c>
    </row>
    <row r="96" spans="1:6" x14ac:dyDescent="0.25">
      <c r="A96" s="64" t="s">
        <v>294</v>
      </c>
      <c r="B96" s="64" t="s">
        <v>295</v>
      </c>
      <c r="C96" s="64" t="s">
        <v>36</v>
      </c>
      <c r="D96" s="64">
        <v>0</v>
      </c>
      <c r="E96" s="64">
        <v>5</v>
      </c>
      <c r="F96" s="65" t="s">
        <v>41</v>
      </c>
    </row>
    <row r="97" spans="1:6" x14ac:dyDescent="0.25">
      <c r="A97" s="64" t="s">
        <v>296</v>
      </c>
      <c r="B97" s="64" t="s">
        <v>297</v>
      </c>
      <c r="C97" s="64" t="s">
        <v>36</v>
      </c>
      <c r="D97" s="64">
        <v>0</v>
      </c>
      <c r="E97" s="64">
        <v>5</v>
      </c>
      <c r="F97" s="65" t="s">
        <v>41</v>
      </c>
    </row>
    <row r="98" spans="1:6" x14ac:dyDescent="0.25">
      <c r="A98" s="64" t="s">
        <v>298</v>
      </c>
      <c r="B98" s="64" t="s">
        <v>299</v>
      </c>
      <c r="C98" s="64" t="s">
        <v>36</v>
      </c>
      <c r="D98" s="64">
        <v>0</v>
      </c>
      <c r="E98" s="64">
        <v>5</v>
      </c>
      <c r="F98" s="65" t="s">
        <v>41</v>
      </c>
    </row>
    <row r="99" spans="1:6" x14ac:dyDescent="0.25">
      <c r="A99" s="64" t="s">
        <v>300</v>
      </c>
      <c r="B99" s="64" t="s">
        <v>301</v>
      </c>
      <c r="C99" s="64" t="s">
        <v>36</v>
      </c>
      <c r="D99" s="64">
        <v>0</v>
      </c>
      <c r="E99" s="64">
        <v>5</v>
      </c>
      <c r="F99" s="65" t="s">
        <v>41</v>
      </c>
    </row>
    <row r="100" spans="1:6" x14ac:dyDescent="0.25">
      <c r="A100" s="64" t="s">
        <v>302</v>
      </c>
      <c r="B100" s="64" t="s">
        <v>303</v>
      </c>
      <c r="C100" s="64" t="s">
        <v>36</v>
      </c>
      <c r="D100" s="64">
        <v>0</v>
      </c>
      <c r="E100" s="64">
        <v>5</v>
      </c>
      <c r="F100" s="65" t="s">
        <v>41</v>
      </c>
    </row>
    <row r="101" spans="1:6" x14ac:dyDescent="0.25">
      <c r="A101" s="64" t="s">
        <v>304</v>
      </c>
      <c r="B101" s="64" t="s">
        <v>305</v>
      </c>
      <c r="C101" s="64" t="s">
        <v>36</v>
      </c>
      <c r="D101" s="64">
        <v>0</v>
      </c>
      <c r="E101" s="64">
        <v>5</v>
      </c>
      <c r="F101" s="65" t="s">
        <v>41</v>
      </c>
    </row>
    <row r="102" spans="1:6" x14ac:dyDescent="0.25">
      <c r="A102" s="64" t="s">
        <v>306</v>
      </c>
      <c r="B102" s="64" t="s">
        <v>307</v>
      </c>
      <c r="C102" s="64" t="s">
        <v>36</v>
      </c>
      <c r="D102" s="64">
        <v>0</v>
      </c>
      <c r="E102" s="64">
        <v>5</v>
      </c>
      <c r="F102" s="65" t="s">
        <v>41</v>
      </c>
    </row>
    <row r="103" spans="1:6" x14ac:dyDescent="0.25">
      <c r="A103" s="64" t="s">
        <v>308</v>
      </c>
      <c r="B103" s="64" t="s">
        <v>309</v>
      </c>
      <c r="C103" s="64" t="s">
        <v>36</v>
      </c>
      <c r="D103" s="64">
        <v>0</v>
      </c>
      <c r="E103" s="64">
        <v>5</v>
      </c>
      <c r="F103" s="65" t="s">
        <v>41</v>
      </c>
    </row>
    <row r="104" spans="1:6" x14ac:dyDescent="0.25">
      <c r="A104" s="64" t="s">
        <v>310</v>
      </c>
      <c r="B104" s="64" t="s">
        <v>311</v>
      </c>
      <c r="C104" s="64" t="s">
        <v>36</v>
      </c>
      <c r="D104" s="64">
        <v>0</v>
      </c>
      <c r="E104" s="64">
        <v>5</v>
      </c>
      <c r="F104" s="65" t="s">
        <v>41</v>
      </c>
    </row>
    <row r="105" spans="1:6" x14ac:dyDescent="0.25">
      <c r="A105" s="64" t="s">
        <v>312</v>
      </c>
      <c r="B105" s="64" t="s">
        <v>313</v>
      </c>
      <c r="C105" s="64" t="s">
        <v>36</v>
      </c>
      <c r="D105" s="64">
        <v>0</v>
      </c>
      <c r="E105" s="64">
        <v>5</v>
      </c>
      <c r="F105" s="65" t="s">
        <v>41</v>
      </c>
    </row>
    <row r="106" spans="1:6" x14ac:dyDescent="0.25">
      <c r="A106" s="64" t="s">
        <v>314</v>
      </c>
      <c r="B106" s="64" t="s">
        <v>315</v>
      </c>
      <c r="C106" s="64" t="s">
        <v>36</v>
      </c>
      <c r="D106" s="64">
        <v>0</v>
      </c>
      <c r="E106" s="64">
        <v>5</v>
      </c>
      <c r="F106" s="65" t="s">
        <v>41</v>
      </c>
    </row>
    <row r="107" spans="1:6" x14ac:dyDescent="0.25">
      <c r="A107" s="64" t="s">
        <v>316</v>
      </c>
      <c r="B107" s="64" t="s">
        <v>317</v>
      </c>
      <c r="C107" s="64" t="s">
        <v>36</v>
      </c>
      <c r="D107" s="64">
        <v>0</v>
      </c>
      <c r="E107" s="64">
        <v>5</v>
      </c>
      <c r="F107" s="65" t="s">
        <v>41</v>
      </c>
    </row>
    <row r="108" spans="1:6" x14ac:dyDescent="0.25">
      <c r="A108" s="64" t="s">
        <v>318</v>
      </c>
      <c r="B108" s="64" t="s">
        <v>319</v>
      </c>
      <c r="C108" s="64" t="s">
        <v>36</v>
      </c>
      <c r="D108" s="64">
        <v>0</v>
      </c>
      <c r="E108" s="64">
        <v>5</v>
      </c>
      <c r="F108" s="65" t="s">
        <v>41</v>
      </c>
    </row>
    <row r="109" spans="1:6" x14ac:dyDescent="0.25">
      <c r="A109" s="64" t="s">
        <v>320</v>
      </c>
      <c r="B109" s="64" t="s">
        <v>321</v>
      </c>
      <c r="C109" s="64" t="s">
        <v>36</v>
      </c>
      <c r="D109" s="64">
        <v>0</v>
      </c>
      <c r="E109" s="64">
        <v>5</v>
      </c>
      <c r="F109" s="65" t="s">
        <v>41</v>
      </c>
    </row>
    <row r="110" spans="1:6" x14ac:dyDescent="0.25">
      <c r="A110" s="64" t="s">
        <v>322</v>
      </c>
      <c r="B110" s="64" t="s">
        <v>323</v>
      </c>
      <c r="C110" s="64" t="s">
        <v>36</v>
      </c>
      <c r="D110" s="64">
        <v>0</v>
      </c>
      <c r="E110" s="64">
        <v>5</v>
      </c>
      <c r="F110" s="65" t="s">
        <v>41</v>
      </c>
    </row>
    <row r="111" spans="1:6" x14ac:dyDescent="0.25">
      <c r="A111" s="64" t="s">
        <v>324</v>
      </c>
      <c r="B111" s="64" t="s">
        <v>325</v>
      </c>
      <c r="C111" s="64" t="s">
        <v>36</v>
      </c>
      <c r="D111" s="64">
        <v>0</v>
      </c>
      <c r="E111" s="64">
        <v>5</v>
      </c>
      <c r="F111" s="65" t="s">
        <v>41</v>
      </c>
    </row>
    <row r="112" spans="1:6" x14ac:dyDescent="0.25">
      <c r="A112" s="64" t="s">
        <v>328</v>
      </c>
      <c r="B112" s="64" t="s">
        <v>329</v>
      </c>
      <c r="C112" s="64" t="s">
        <v>36</v>
      </c>
      <c r="D112" s="64">
        <v>0</v>
      </c>
      <c r="E112" s="64">
        <v>5</v>
      </c>
      <c r="F112" s="65" t="s">
        <v>41</v>
      </c>
    </row>
    <row r="113" spans="1:6" x14ac:dyDescent="0.25">
      <c r="A113" s="64" t="s">
        <v>332</v>
      </c>
      <c r="B113" s="64" t="s">
        <v>333</v>
      </c>
      <c r="C113" s="64" t="s">
        <v>36</v>
      </c>
      <c r="D113" s="64">
        <v>0</v>
      </c>
      <c r="E113" s="64">
        <v>5</v>
      </c>
      <c r="F113" s="65" t="s">
        <v>41</v>
      </c>
    </row>
    <row r="114" spans="1:6" x14ac:dyDescent="0.25">
      <c r="A114" s="64" t="s">
        <v>334</v>
      </c>
      <c r="B114" s="64" t="s">
        <v>335</v>
      </c>
      <c r="C114" s="64" t="s">
        <v>36</v>
      </c>
      <c r="D114" s="64">
        <v>0</v>
      </c>
      <c r="E114" s="64">
        <v>5</v>
      </c>
      <c r="F114" s="65" t="s">
        <v>41</v>
      </c>
    </row>
    <row r="115" spans="1:6" x14ac:dyDescent="0.25">
      <c r="A115" s="64" t="s">
        <v>336</v>
      </c>
      <c r="B115" s="64" t="s">
        <v>337</v>
      </c>
      <c r="C115" s="64" t="s">
        <v>36</v>
      </c>
      <c r="D115" s="64">
        <v>0</v>
      </c>
      <c r="E115" s="64">
        <v>5</v>
      </c>
      <c r="F115" s="65" t="s">
        <v>41</v>
      </c>
    </row>
    <row r="116" spans="1:6" x14ac:dyDescent="0.25">
      <c r="A116" s="64" t="s">
        <v>338</v>
      </c>
      <c r="B116" s="64" t="s">
        <v>339</v>
      </c>
      <c r="C116" s="64" t="s">
        <v>36</v>
      </c>
      <c r="D116" s="64">
        <v>0</v>
      </c>
      <c r="E116" s="64">
        <v>5</v>
      </c>
      <c r="F116" s="65" t="s">
        <v>41</v>
      </c>
    </row>
    <row r="117" spans="1:6" x14ac:dyDescent="0.25">
      <c r="A117" s="64" t="s">
        <v>340</v>
      </c>
      <c r="B117" s="64" t="s">
        <v>341</v>
      </c>
      <c r="C117" s="64" t="s">
        <v>36</v>
      </c>
      <c r="D117" s="64">
        <v>0</v>
      </c>
      <c r="E117" s="64">
        <v>5</v>
      </c>
      <c r="F117" s="65" t="s">
        <v>41</v>
      </c>
    </row>
    <row r="118" spans="1:6" x14ac:dyDescent="0.25">
      <c r="A118" s="64" t="s">
        <v>342</v>
      </c>
      <c r="B118" s="64" t="s">
        <v>343</v>
      </c>
      <c r="C118" s="64" t="s">
        <v>38</v>
      </c>
      <c r="D118" s="64">
        <v>0</v>
      </c>
      <c r="E118" s="64">
        <v>5</v>
      </c>
      <c r="F118" s="65" t="s">
        <v>41</v>
      </c>
    </row>
    <row r="119" spans="1:6" x14ac:dyDescent="0.25">
      <c r="A119" s="64" t="s">
        <v>348</v>
      </c>
      <c r="B119" s="64" t="s">
        <v>349</v>
      </c>
      <c r="C119" s="64" t="s">
        <v>38</v>
      </c>
      <c r="D119" s="64">
        <v>0</v>
      </c>
      <c r="E119" s="64">
        <v>5</v>
      </c>
      <c r="F119" s="65" t="s">
        <v>41</v>
      </c>
    </row>
    <row r="120" spans="1:6" x14ac:dyDescent="0.25">
      <c r="A120" s="64" t="s">
        <v>350</v>
      </c>
      <c r="B120" s="64" t="s">
        <v>351</v>
      </c>
      <c r="C120" s="64" t="s">
        <v>38</v>
      </c>
      <c r="D120" s="64">
        <v>0</v>
      </c>
      <c r="E120" s="64">
        <v>5</v>
      </c>
      <c r="F120" s="65" t="s">
        <v>41</v>
      </c>
    </row>
    <row r="121" spans="1:6" x14ac:dyDescent="0.25">
      <c r="A121" s="64" t="s">
        <v>352</v>
      </c>
      <c r="B121" s="64" t="s">
        <v>353</v>
      </c>
      <c r="C121" s="64" t="s">
        <v>38</v>
      </c>
      <c r="D121" s="64">
        <v>0</v>
      </c>
      <c r="E121" s="64">
        <v>5</v>
      </c>
      <c r="F121" s="65" t="s">
        <v>41</v>
      </c>
    </row>
    <row r="122" spans="1:6" x14ac:dyDescent="0.25">
      <c r="A122" s="64" t="s">
        <v>354</v>
      </c>
      <c r="B122" s="64" t="s">
        <v>355</v>
      </c>
      <c r="C122" s="64" t="s">
        <v>38</v>
      </c>
      <c r="D122" s="64">
        <v>0</v>
      </c>
      <c r="E122" s="64">
        <v>5</v>
      </c>
      <c r="F122" s="65" t="s">
        <v>41</v>
      </c>
    </row>
    <row r="123" spans="1:6" x14ac:dyDescent="0.25">
      <c r="A123" s="64" t="s">
        <v>360</v>
      </c>
      <c r="B123" s="64" t="s">
        <v>361</v>
      </c>
      <c r="C123" s="64" t="s">
        <v>38</v>
      </c>
      <c r="D123" s="64">
        <v>0</v>
      </c>
      <c r="E123" s="64">
        <v>5</v>
      </c>
      <c r="F123" s="65" t="s">
        <v>41</v>
      </c>
    </row>
    <row r="124" spans="1:6" x14ac:dyDescent="0.25">
      <c r="A124" s="64" t="s">
        <v>362</v>
      </c>
      <c r="B124" s="64" t="s">
        <v>363</v>
      </c>
      <c r="C124" s="64" t="s">
        <v>38</v>
      </c>
      <c r="D124" s="64">
        <v>0</v>
      </c>
      <c r="E124" s="64">
        <v>5</v>
      </c>
      <c r="F124" s="65" t="s">
        <v>41</v>
      </c>
    </row>
    <row r="125" spans="1:6" x14ac:dyDescent="0.25">
      <c r="A125" s="64" t="s">
        <v>364</v>
      </c>
      <c r="B125" s="64" t="s">
        <v>365</v>
      </c>
      <c r="C125" s="64" t="s">
        <v>38</v>
      </c>
      <c r="D125" s="64">
        <v>0</v>
      </c>
      <c r="E125" s="64">
        <v>5</v>
      </c>
      <c r="F125" s="65" t="s">
        <v>41</v>
      </c>
    </row>
    <row r="126" spans="1:6" x14ac:dyDescent="0.25">
      <c r="A126" s="64" t="s">
        <v>366</v>
      </c>
      <c r="B126" s="64" t="s">
        <v>367</v>
      </c>
      <c r="C126" s="64" t="s">
        <v>38</v>
      </c>
      <c r="D126" s="64">
        <v>0</v>
      </c>
      <c r="E126" s="64">
        <v>5</v>
      </c>
      <c r="F126" s="65" t="s">
        <v>41</v>
      </c>
    </row>
    <row r="127" spans="1:6" x14ac:dyDescent="0.25">
      <c r="A127" s="64" t="s">
        <v>368</v>
      </c>
      <c r="B127" s="64" t="s">
        <v>369</v>
      </c>
      <c r="C127" s="64" t="s">
        <v>38</v>
      </c>
      <c r="D127" s="64">
        <v>0</v>
      </c>
      <c r="E127" s="64">
        <v>5</v>
      </c>
      <c r="F127" s="65" t="s">
        <v>41</v>
      </c>
    </row>
    <row r="128" spans="1:6" x14ac:dyDescent="0.25">
      <c r="A128" s="64" t="s">
        <v>370</v>
      </c>
      <c r="B128" s="64" t="s">
        <v>371</v>
      </c>
      <c r="C128" s="64" t="s">
        <v>38</v>
      </c>
      <c r="D128" s="64">
        <v>0</v>
      </c>
      <c r="E128" s="64">
        <v>5</v>
      </c>
      <c r="F128" s="65" t="s">
        <v>41</v>
      </c>
    </row>
    <row r="129" spans="1:6" x14ac:dyDescent="0.25">
      <c r="A129" s="64" t="s">
        <v>374</v>
      </c>
      <c r="B129" s="64" t="s">
        <v>375</v>
      </c>
      <c r="C129" s="64" t="s">
        <v>38</v>
      </c>
      <c r="D129" s="64">
        <v>0</v>
      </c>
      <c r="E129" s="64">
        <v>5</v>
      </c>
      <c r="F129" s="65" t="s">
        <v>41</v>
      </c>
    </row>
    <row r="130" spans="1:6" x14ac:dyDescent="0.25">
      <c r="A130" s="64" t="s">
        <v>376</v>
      </c>
      <c r="B130" s="64" t="s">
        <v>377</v>
      </c>
      <c r="C130" s="64" t="s">
        <v>38</v>
      </c>
      <c r="D130" s="64">
        <v>0</v>
      </c>
      <c r="E130" s="64">
        <v>5</v>
      </c>
      <c r="F130" s="65" t="s">
        <v>41</v>
      </c>
    </row>
    <row r="131" spans="1:6" x14ac:dyDescent="0.25">
      <c r="A131" s="64" t="s">
        <v>378</v>
      </c>
      <c r="B131" s="64" t="s">
        <v>379</v>
      </c>
      <c r="C131" s="64" t="s">
        <v>38</v>
      </c>
      <c r="D131" s="64">
        <v>0</v>
      </c>
      <c r="E131" s="64">
        <v>5</v>
      </c>
      <c r="F131" s="65" t="s">
        <v>41</v>
      </c>
    </row>
    <row r="132" spans="1:6" x14ac:dyDescent="0.25">
      <c r="A132" s="64" t="s">
        <v>380</v>
      </c>
      <c r="B132" s="64" t="s">
        <v>381</v>
      </c>
      <c r="C132" s="64" t="s">
        <v>38</v>
      </c>
      <c r="D132" s="64">
        <v>0</v>
      </c>
      <c r="E132" s="64">
        <v>5</v>
      </c>
      <c r="F132" s="65" t="s">
        <v>41</v>
      </c>
    </row>
    <row r="133" spans="1:6" x14ac:dyDescent="0.25">
      <c r="A133" s="64" t="s">
        <v>382</v>
      </c>
      <c r="B133" s="64" t="s">
        <v>383</v>
      </c>
      <c r="C133" s="64" t="s">
        <v>38</v>
      </c>
      <c r="D133" s="64">
        <v>0</v>
      </c>
      <c r="E133" s="64">
        <v>5</v>
      </c>
      <c r="F133" s="65" t="s">
        <v>41</v>
      </c>
    </row>
    <row r="134" spans="1:6" x14ac:dyDescent="0.25">
      <c r="A134" s="64" t="s">
        <v>384</v>
      </c>
      <c r="B134" s="64" t="s">
        <v>385</v>
      </c>
      <c r="C134" s="64" t="s">
        <v>38</v>
      </c>
      <c r="D134" s="64">
        <v>0</v>
      </c>
      <c r="E134" s="64">
        <v>5</v>
      </c>
      <c r="F134" s="65" t="s">
        <v>41</v>
      </c>
    </row>
    <row r="135" spans="1:6" x14ac:dyDescent="0.25">
      <c r="A135" s="64" t="s">
        <v>386</v>
      </c>
      <c r="B135" s="64" t="s">
        <v>387</v>
      </c>
      <c r="C135" s="64" t="s">
        <v>38</v>
      </c>
      <c r="D135" s="64">
        <v>0</v>
      </c>
      <c r="E135" s="64">
        <v>5</v>
      </c>
      <c r="F135" s="65" t="s">
        <v>41</v>
      </c>
    </row>
    <row r="136" spans="1:6" x14ac:dyDescent="0.25">
      <c r="A136" s="64" t="s">
        <v>388</v>
      </c>
      <c r="B136" s="64" t="s">
        <v>389</v>
      </c>
      <c r="C136" s="64" t="s">
        <v>38</v>
      </c>
      <c r="D136" s="64">
        <v>0</v>
      </c>
      <c r="E136" s="64">
        <v>5</v>
      </c>
      <c r="F136" s="65" t="s">
        <v>41</v>
      </c>
    </row>
    <row r="137" spans="1:6" x14ac:dyDescent="0.25">
      <c r="A137" s="64" t="s">
        <v>390</v>
      </c>
      <c r="B137" s="64" t="s">
        <v>391</v>
      </c>
      <c r="C137" s="64" t="s">
        <v>38</v>
      </c>
      <c r="D137" s="64">
        <v>0</v>
      </c>
      <c r="E137" s="64">
        <v>5</v>
      </c>
      <c r="F137" s="65" t="s">
        <v>41</v>
      </c>
    </row>
    <row r="138" spans="1:6" x14ac:dyDescent="0.25">
      <c r="A138" s="64" t="s">
        <v>392</v>
      </c>
      <c r="B138" s="64" t="s">
        <v>393</v>
      </c>
      <c r="C138" s="64" t="s">
        <v>38</v>
      </c>
      <c r="D138" s="64">
        <v>0</v>
      </c>
      <c r="E138" s="64">
        <v>5</v>
      </c>
      <c r="F138" s="65" t="s">
        <v>41</v>
      </c>
    </row>
    <row r="139" spans="1:6" x14ac:dyDescent="0.25">
      <c r="A139" s="64" t="s">
        <v>394</v>
      </c>
      <c r="B139" s="64" t="s">
        <v>395</v>
      </c>
      <c r="C139" s="64" t="s">
        <v>38</v>
      </c>
      <c r="D139" s="64">
        <v>0</v>
      </c>
      <c r="E139" s="64">
        <v>5</v>
      </c>
      <c r="F139" s="65" t="s">
        <v>41</v>
      </c>
    </row>
    <row r="140" spans="1:6" x14ac:dyDescent="0.25">
      <c r="A140" s="64" t="s">
        <v>396</v>
      </c>
      <c r="B140" s="64" t="s">
        <v>397</v>
      </c>
      <c r="C140" s="64" t="s">
        <v>38</v>
      </c>
      <c r="D140" s="64">
        <v>0</v>
      </c>
      <c r="E140" s="64">
        <v>5</v>
      </c>
      <c r="F140" s="65" t="s">
        <v>41</v>
      </c>
    </row>
    <row r="141" spans="1:6" x14ac:dyDescent="0.25">
      <c r="A141" s="64" t="s">
        <v>398</v>
      </c>
      <c r="B141" s="64" t="s">
        <v>399</v>
      </c>
      <c r="C141" s="64" t="s">
        <v>38</v>
      </c>
      <c r="D141" s="64">
        <v>0</v>
      </c>
      <c r="E141" s="64">
        <v>5</v>
      </c>
      <c r="F141" s="65" t="s">
        <v>41</v>
      </c>
    </row>
    <row r="142" spans="1:6" x14ac:dyDescent="0.25">
      <c r="A142" s="64" t="s">
        <v>400</v>
      </c>
      <c r="B142" s="64" t="s">
        <v>401</v>
      </c>
      <c r="C142" s="64" t="s">
        <v>38</v>
      </c>
      <c r="D142" s="64">
        <v>0</v>
      </c>
      <c r="E142" s="64">
        <v>5</v>
      </c>
      <c r="F142" s="65" t="s">
        <v>41</v>
      </c>
    </row>
    <row r="143" spans="1:6" x14ac:dyDescent="0.25">
      <c r="A143" s="64" t="s">
        <v>402</v>
      </c>
      <c r="B143" s="64" t="s">
        <v>403</v>
      </c>
      <c r="C143" s="64" t="s">
        <v>38</v>
      </c>
      <c r="D143" s="64">
        <v>0</v>
      </c>
      <c r="E143" s="64">
        <v>5</v>
      </c>
      <c r="F143" s="65" t="s">
        <v>41</v>
      </c>
    </row>
    <row r="144" spans="1:6" x14ac:dyDescent="0.25">
      <c r="A144" s="64" t="s">
        <v>404</v>
      </c>
      <c r="B144" s="64" t="s">
        <v>405</v>
      </c>
      <c r="C144" s="64" t="s">
        <v>38</v>
      </c>
      <c r="D144" s="64">
        <v>0</v>
      </c>
      <c r="E144" s="64">
        <v>5</v>
      </c>
      <c r="F144" s="65" t="s">
        <v>41</v>
      </c>
    </row>
    <row r="145" spans="1:6" x14ac:dyDescent="0.25">
      <c r="A145" s="64" t="s">
        <v>406</v>
      </c>
      <c r="B145" s="64" t="s">
        <v>407</v>
      </c>
      <c r="C145" s="64" t="s">
        <v>38</v>
      </c>
      <c r="D145" s="64">
        <v>0</v>
      </c>
      <c r="E145" s="64">
        <v>5</v>
      </c>
      <c r="F145" s="65" t="s">
        <v>41</v>
      </c>
    </row>
    <row r="146" spans="1:6" x14ac:dyDescent="0.25">
      <c r="A146" s="64" t="s">
        <v>408</v>
      </c>
      <c r="B146" s="64" t="s">
        <v>409</v>
      </c>
      <c r="C146" s="64" t="s">
        <v>38</v>
      </c>
      <c r="D146" s="64">
        <v>0</v>
      </c>
      <c r="E146" s="64">
        <v>5</v>
      </c>
      <c r="F146" s="65" t="s">
        <v>41</v>
      </c>
    </row>
    <row r="147" spans="1:6" x14ac:dyDescent="0.25">
      <c r="A147" s="64" t="s">
        <v>410</v>
      </c>
      <c r="B147" s="64" t="s">
        <v>411</v>
      </c>
      <c r="C147" s="64" t="s">
        <v>38</v>
      </c>
      <c r="D147" s="64">
        <v>0</v>
      </c>
      <c r="E147" s="64">
        <v>5</v>
      </c>
      <c r="F147" s="65" t="s">
        <v>41</v>
      </c>
    </row>
    <row r="148" spans="1:6" x14ac:dyDescent="0.25">
      <c r="A148" s="64" t="s">
        <v>412</v>
      </c>
      <c r="B148" s="64" t="s">
        <v>413</v>
      </c>
      <c r="C148" s="64" t="s">
        <v>38</v>
      </c>
      <c r="D148" s="64">
        <v>0</v>
      </c>
      <c r="E148" s="64">
        <v>5</v>
      </c>
      <c r="F148" s="65" t="s">
        <v>41</v>
      </c>
    </row>
    <row r="149" spans="1:6" x14ac:dyDescent="0.25">
      <c r="A149" s="64" t="s">
        <v>414</v>
      </c>
      <c r="B149" s="64" t="s">
        <v>415</v>
      </c>
      <c r="C149" s="64" t="s">
        <v>38</v>
      </c>
      <c r="D149" s="64">
        <v>0</v>
      </c>
      <c r="E149" s="64">
        <v>5</v>
      </c>
      <c r="F149" s="65" t="s">
        <v>41</v>
      </c>
    </row>
    <row r="150" spans="1:6" x14ac:dyDescent="0.25">
      <c r="A150" s="64" t="s">
        <v>416</v>
      </c>
      <c r="B150" s="64" t="s">
        <v>417</v>
      </c>
      <c r="C150" s="64" t="s">
        <v>38</v>
      </c>
      <c r="D150" s="64">
        <v>0</v>
      </c>
      <c r="E150" s="64">
        <v>5</v>
      </c>
      <c r="F150" s="65" t="s">
        <v>41</v>
      </c>
    </row>
    <row r="151" spans="1:6" x14ac:dyDescent="0.25">
      <c r="A151" s="64" t="s">
        <v>418</v>
      </c>
      <c r="B151" s="64" t="s">
        <v>419</v>
      </c>
      <c r="C151" s="64" t="s">
        <v>38</v>
      </c>
      <c r="D151" s="64">
        <v>0</v>
      </c>
      <c r="E151" s="64">
        <v>5</v>
      </c>
      <c r="F151" s="65" t="s">
        <v>41</v>
      </c>
    </row>
    <row r="152" spans="1:6" x14ac:dyDescent="0.25">
      <c r="A152" s="64" t="s">
        <v>420</v>
      </c>
      <c r="B152" s="64" t="s">
        <v>421</v>
      </c>
      <c r="C152" s="64" t="s">
        <v>38</v>
      </c>
      <c r="D152" s="64">
        <v>0</v>
      </c>
      <c r="E152" s="64">
        <v>5</v>
      </c>
      <c r="F152" s="65" t="s">
        <v>41</v>
      </c>
    </row>
    <row r="153" spans="1:6" x14ac:dyDescent="0.25">
      <c r="A153" s="64" t="s">
        <v>422</v>
      </c>
      <c r="B153" s="64" t="s">
        <v>423</v>
      </c>
      <c r="C153" s="64" t="s">
        <v>38</v>
      </c>
      <c r="D153" s="64">
        <v>0</v>
      </c>
      <c r="E153" s="64">
        <v>5</v>
      </c>
      <c r="F153" s="65" t="s">
        <v>41</v>
      </c>
    </row>
    <row r="154" spans="1:6" x14ac:dyDescent="0.25">
      <c r="A154" s="64" t="s">
        <v>424</v>
      </c>
      <c r="B154" s="64" t="s">
        <v>425</v>
      </c>
      <c r="C154" s="64" t="s">
        <v>38</v>
      </c>
      <c r="D154" s="64">
        <v>0</v>
      </c>
      <c r="E154" s="64">
        <v>5</v>
      </c>
      <c r="F154" s="65" t="s">
        <v>41</v>
      </c>
    </row>
    <row r="155" spans="1:6" x14ac:dyDescent="0.25">
      <c r="A155" s="64" t="s">
        <v>426</v>
      </c>
      <c r="B155" s="64" t="s">
        <v>427</v>
      </c>
      <c r="C155" s="64" t="s">
        <v>38</v>
      </c>
      <c r="D155" s="64">
        <v>0</v>
      </c>
      <c r="E155" s="64">
        <v>5</v>
      </c>
      <c r="F155" s="65" t="s">
        <v>41</v>
      </c>
    </row>
    <row r="156" spans="1:6" x14ac:dyDescent="0.25">
      <c r="A156" s="64" t="s">
        <v>428</v>
      </c>
      <c r="B156" s="64" t="s">
        <v>429</v>
      </c>
      <c r="C156" s="64" t="s">
        <v>38</v>
      </c>
      <c r="D156" s="64">
        <v>0</v>
      </c>
      <c r="E156" s="64">
        <v>5</v>
      </c>
      <c r="F156" s="65" t="s">
        <v>41</v>
      </c>
    </row>
    <row r="157" spans="1:6" x14ac:dyDescent="0.25">
      <c r="A157" s="64" t="s">
        <v>430</v>
      </c>
      <c r="B157" s="64" t="s">
        <v>431</v>
      </c>
      <c r="C157" s="64" t="s">
        <v>38</v>
      </c>
      <c r="D157" s="64">
        <v>0</v>
      </c>
      <c r="E157" s="64">
        <v>5</v>
      </c>
      <c r="F157" s="65" t="s">
        <v>41</v>
      </c>
    </row>
    <row r="158" spans="1:6" x14ac:dyDescent="0.25">
      <c r="A158" s="64" t="s">
        <v>432</v>
      </c>
      <c r="B158" s="64" t="s">
        <v>433</v>
      </c>
      <c r="C158" s="64" t="s">
        <v>38</v>
      </c>
      <c r="D158" s="64">
        <v>0</v>
      </c>
      <c r="E158" s="64">
        <v>5</v>
      </c>
      <c r="F158" s="65" t="s">
        <v>41</v>
      </c>
    </row>
    <row r="159" spans="1:6" x14ac:dyDescent="0.25">
      <c r="A159" s="64" t="s">
        <v>434</v>
      </c>
      <c r="B159" s="64" t="s">
        <v>435</v>
      </c>
      <c r="C159" s="64" t="s">
        <v>38</v>
      </c>
      <c r="D159" s="64">
        <v>0</v>
      </c>
      <c r="E159" s="64">
        <v>5</v>
      </c>
      <c r="F159" s="65" t="s">
        <v>41</v>
      </c>
    </row>
    <row r="160" spans="1:6" x14ac:dyDescent="0.25">
      <c r="A160" s="64" t="s">
        <v>436</v>
      </c>
      <c r="B160" s="64" t="s">
        <v>437</v>
      </c>
      <c r="C160" s="64" t="s">
        <v>38</v>
      </c>
      <c r="D160" s="64">
        <v>0</v>
      </c>
      <c r="E160" s="64">
        <v>5</v>
      </c>
      <c r="F160" s="65" t="s">
        <v>41</v>
      </c>
    </row>
    <row r="161" spans="1:6" x14ac:dyDescent="0.25">
      <c r="A161" s="64" t="s">
        <v>438</v>
      </c>
      <c r="B161" s="64" t="s">
        <v>439</v>
      </c>
      <c r="C161" s="64" t="s">
        <v>38</v>
      </c>
      <c r="D161" s="64">
        <v>0</v>
      </c>
      <c r="E161" s="64">
        <v>5</v>
      </c>
      <c r="F161" s="65" t="s">
        <v>41</v>
      </c>
    </row>
    <row r="162" spans="1:6" x14ac:dyDescent="0.25">
      <c r="A162" s="64" t="s">
        <v>442</v>
      </c>
      <c r="B162" s="64" t="s">
        <v>443</v>
      </c>
      <c r="C162" s="64" t="s">
        <v>38</v>
      </c>
      <c r="D162" s="64">
        <v>0</v>
      </c>
      <c r="E162" s="64">
        <v>5</v>
      </c>
      <c r="F162" s="65" t="s">
        <v>41</v>
      </c>
    </row>
    <row r="163" spans="1:6" x14ac:dyDescent="0.25">
      <c r="A163" s="64" t="s">
        <v>444</v>
      </c>
      <c r="B163" s="64" t="s">
        <v>445</v>
      </c>
      <c r="C163" s="64" t="s">
        <v>38</v>
      </c>
      <c r="D163" s="64">
        <v>0</v>
      </c>
      <c r="E163" s="64">
        <v>5</v>
      </c>
      <c r="F163" s="65" t="s">
        <v>41</v>
      </c>
    </row>
    <row r="164" spans="1:6" x14ac:dyDescent="0.25">
      <c r="A164" s="64" t="s">
        <v>446</v>
      </c>
      <c r="B164" s="64" t="s">
        <v>447</v>
      </c>
      <c r="C164" s="64" t="s">
        <v>38</v>
      </c>
      <c r="D164" s="64">
        <v>0</v>
      </c>
      <c r="E164" s="64">
        <v>5</v>
      </c>
      <c r="F164" s="65" t="s">
        <v>41</v>
      </c>
    </row>
    <row r="165" spans="1:6" x14ac:dyDescent="0.25">
      <c r="A165" s="64" t="s">
        <v>448</v>
      </c>
      <c r="B165" s="64" t="s">
        <v>449</v>
      </c>
      <c r="C165" s="64" t="s">
        <v>38</v>
      </c>
      <c r="D165" s="64">
        <v>0</v>
      </c>
      <c r="E165" s="64">
        <v>5</v>
      </c>
      <c r="F165" s="65" t="s">
        <v>41</v>
      </c>
    </row>
    <row r="166" spans="1:6" x14ac:dyDescent="0.25">
      <c r="A166" s="64" t="s">
        <v>450</v>
      </c>
      <c r="B166" s="64" t="s">
        <v>451</v>
      </c>
      <c r="C166" s="64" t="s">
        <v>38</v>
      </c>
      <c r="D166" s="64">
        <v>0</v>
      </c>
      <c r="E166" s="64">
        <v>5</v>
      </c>
      <c r="F166" s="65" t="s">
        <v>41</v>
      </c>
    </row>
    <row r="167" spans="1:6" x14ac:dyDescent="0.25">
      <c r="A167" s="64" t="s">
        <v>452</v>
      </c>
      <c r="B167" s="64" t="s">
        <v>453</v>
      </c>
      <c r="C167" s="64" t="s">
        <v>38</v>
      </c>
      <c r="D167" s="64">
        <v>0</v>
      </c>
      <c r="E167" s="64">
        <v>5</v>
      </c>
      <c r="F167" s="65" t="s">
        <v>41</v>
      </c>
    </row>
    <row r="168" spans="1:6" x14ac:dyDescent="0.25">
      <c r="A168" s="64" t="s">
        <v>454</v>
      </c>
      <c r="B168" s="64" t="s">
        <v>455</v>
      </c>
      <c r="C168" s="64" t="s">
        <v>38</v>
      </c>
      <c r="D168" s="64">
        <v>0</v>
      </c>
      <c r="E168" s="64">
        <v>5</v>
      </c>
      <c r="F168" s="65" t="s">
        <v>41</v>
      </c>
    </row>
    <row r="169" spans="1:6" x14ac:dyDescent="0.25">
      <c r="A169" s="64" t="s">
        <v>458</v>
      </c>
      <c r="B169" s="64" t="s">
        <v>459</v>
      </c>
      <c r="C169" s="64" t="s">
        <v>38</v>
      </c>
      <c r="D169" s="64">
        <v>0</v>
      </c>
      <c r="E169" s="64">
        <v>5</v>
      </c>
      <c r="F169" s="65" t="s">
        <v>41</v>
      </c>
    </row>
    <row r="170" spans="1:6" x14ac:dyDescent="0.25">
      <c r="A170" s="64" t="s">
        <v>460</v>
      </c>
      <c r="B170" s="64" t="s">
        <v>461</v>
      </c>
      <c r="C170" s="64" t="s">
        <v>38</v>
      </c>
      <c r="D170" s="64">
        <v>0</v>
      </c>
      <c r="E170" s="64">
        <v>5</v>
      </c>
      <c r="F170" s="65" t="s">
        <v>41</v>
      </c>
    </row>
    <row r="171" spans="1:6" x14ac:dyDescent="0.25">
      <c r="A171" s="64" t="s">
        <v>462</v>
      </c>
      <c r="B171" s="64" t="s">
        <v>463</v>
      </c>
      <c r="C171" s="64" t="s">
        <v>38</v>
      </c>
      <c r="D171" s="64">
        <v>0</v>
      </c>
      <c r="E171" s="64">
        <v>5</v>
      </c>
      <c r="F171" s="65" t="s">
        <v>41</v>
      </c>
    </row>
    <row r="172" spans="1:6" x14ac:dyDescent="0.25">
      <c r="A172" s="64" t="s">
        <v>464</v>
      </c>
      <c r="B172" s="64" t="s">
        <v>465</v>
      </c>
      <c r="C172" s="64" t="s">
        <v>38</v>
      </c>
      <c r="D172" s="64">
        <v>0</v>
      </c>
      <c r="E172" s="64">
        <v>5</v>
      </c>
      <c r="F172" s="65" t="s">
        <v>41</v>
      </c>
    </row>
    <row r="173" spans="1:6" x14ac:dyDescent="0.25">
      <c r="A173" s="64" t="s">
        <v>466</v>
      </c>
      <c r="B173" s="64" t="s">
        <v>467</v>
      </c>
      <c r="C173" s="64" t="s">
        <v>38</v>
      </c>
      <c r="D173" s="64">
        <v>0</v>
      </c>
      <c r="E173" s="64">
        <v>5</v>
      </c>
      <c r="F173" s="65" t="s">
        <v>41</v>
      </c>
    </row>
    <row r="174" spans="1:6" x14ac:dyDescent="0.25">
      <c r="A174" s="64" t="s">
        <v>468</v>
      </c>
      <c r="B174" s="64" t="s">
        <v>469</v>
      </c>
      <c r="C174" s="64" t="s">
        <v>38</v>
      </c>
      <c r="D174" s="64">
        <v>0</v>
      </c>
      <c r="E174" s="64">
        <v>5</v>
      </c>
      <c r="F174" s="65" t="s">
        <v>41</v>
      </c>
    </row>
    <row r="175" spans="1:6" x14ac:dyDescent="0.25">
      <c r="A175" s="64" t="s">
        <v>470</v>
      </c>
      <c r="B175" s="64" t="s">
        <v>471</v>
      </c>
      <c r="C175" s="64" t="s">
        <v>38</v>
      </c>
      <c r="D175" s="64">
        <v>0</v>
      </c>
      <c r="E175" s="64">
        <v>5</v>
      </c>
      <c r="F175" s="65" t="s">
        <v>41</v>
      </c>
    </row>
    <row r="176" spans="1:6" x14ac:dyDescent="0.25">
      <c r="A176" s="64" t="s">
        <v>472</v>
      </c>
      <c r="B176" s="64" t="s">
        <v>473</v>
      </c>
      <c r="C176" s="64" t="s">
        <v>38</v>
      </c>
      <c r="D176" s="64">
        <v>0</v>
      </c>
      <c r="E176" s="64">
        <v>5</v>
      </c>
      <c r="F176" s="65" t="s">
        <v>41</v>
      </c>
    </row>
    <row r="177" spans="1:6" x14ac:dyDescent="0.25">
      <c r="A177" s="64" t="s">
        <v>474</v>
      </c>
      <c r="B177" s="64" t="s">
        <v>475</v>
      </c>
      <c r="C177" s="64" t="s">
        <v>40</v>
      </c>
      <c r="D177" s="64">
        <v>0</v>
      </c>
      <c r="E177" s="64">
        <v>5</v>
      </c>
      <c r="F177" s="65" t="s">
        <v>41</v>
      </c>
    </row>
    <row r="178" spans="1:6" x14ac:dyDescent="0.25">
      <c r="A178" s="64" t="s">
        <v>476</v>
      </c>
      <c r="B178" s="64" t="s">
        <v>477</v>
      </c>
      <c r="C178" s="64" t="s">
        <v>40</v>
      </c>
      <c r="D178" s="64">
        <v>0</v>
      </c>
      <c r="E178" s="64">
        <v>5</v>
      </c>
      <c r="F178" s="65" t="s">
        <v>41</v>
      </c>
    </row>
    <row r="179" spans="1:6" x14ac:dyDescent="0.25">
      <c r="A179" s="64" t="s">
        <v>480</v>
      </c>
      <c r="B179" s="64" t="s">
        <v>481</v>
      </c>
      <c r="C179" s="64" t="s">
        <v>40</v>
      </c>
      <c r="D179" s="64">
        <v>0</v>
      </c>
      <c r="E179" s="64">
        <v>5</v>
      </c>
      <c r="F179" s="65" t="s">
        <v>41</v>
      </c>
    </row>
    <row r="180" spans="1:6" x14ac:dyDescent="0.25">
      <c r="A180" s="64" t="s">
        <v>482</v>
      </c>
      <c r="B180" s="64" t="s">
        <v>483</v>
      </c>
      <c r="C180" s="64" t="s">
        <v>40</v>
      </c>
      <c r="D180" s="64">
        <v>0</v>
      </c>
      <c r="E180" s="64">
        <v>5</v>
      </c>
      <c r="F180" s="65" t="s">
        <v>41</v>
      </c>
    </row>
    <row r="181" spans="1:6" x14ac:dyDescent="0.25">
      <c r="A181" s="64" t="s">
        <v>484</v>
      </c>
      <c r="B181" s="64" t="s">
        <v>485</v>
      </c>
      <c r="C181" s="64" t="s">
        <v>40</v>
      </c>
      <c r="D181" s="64">
        <v>0</v>
      </c>
      <c r="E181" s="64">
        <v>5</v>
      </c>
      <c r="F181" s="65" t="s">
        <v>41</v>
      </c>
    </row>
    <row r="182" spans="1:6" x14ac:dyDescent="0.25">
      <c r="A182" s="64" t="s">
        <v>486</v>
      </c>
      <c r="B182" s="64" t="s">
        <v>487</v>
      </c>
      <c r="C182" s="64" t="s">
        <v>40</v>
      </c>
      <c r="D182" s="64">
        <v>0</v>
      </c>
      <c r="E182" s="64">
        <v>5</v>
      </c>
      <c r="F182" s="65" t="s">
        <v>41</v>
      </c>
    </row>
    <row r="183" spans="1:6" x14ac:dyDescent="0.25">
      <c r="A183" s="64" t="s">
        <v>488</v>
      </c>
      <c r="B183" s="64" t="s">
        <v>489</v>
      </c>
      <c r="C183" s="64" t="s">
        <v>40</v>
      </c>
      <c r="D183" s="64">
        <v>0</v>
      </c>
      <c r="E183" s="64">
        <v>5</v>
      </c>
      <c r="F183" s="65" t="s">
        <v>41</v>
      </c>
    </row>
    <row r="184" spans="1:6" x14ac:dyDescent="0.25">
      <c r="A184" s="64" t="s">
        <v>490</v>
      </c>
      <c r="B184" s="64" t="s">
        <v>491</v>
      </c>
      <c r="C184" s="64" t="s">
        <v>40</v>
      </c>
      <c r="D184" s="64">
        <v>0</v>
      </c>
      <c r="E184" s="64">
        <v>5</v>
      </c>
      <c r="F184" s="65" t="s">
        <v>41</v>
      </c>
    </row>
    <row r="185" spans="1:6" x14ac:dyDescent="0.25">
      <c r="A185" s="64" t="s">
        <v>492</v>
      </c>
      <c r="B185" s="64" t="s">
        <v>494</v>
      </c>
      <c r="C185" s="64" t="s">
        <v>493</v>
      </c>
      <c r="D185" s="64">
        <v>0</v>
      </c>
      <c r="E185" s="64">
        <v>5</v>
      </c>
      <c r="F185" s="65" t="s">
        <v>41</v>
      </c>
    </row>
    <row r="186" spans="1:6" x14ac:dyDescent="0.25">
      <c r="A186" s="64" t="s">
        <v>496</v>
      </c>
      <c r="B186" s="64" t="s">
        <v>497</v>
      </c>
      <c r="C186" s="64" t="s">
        <v>493</v>
      </c>
      <c r="D186" s="64">
        <v>0</v>
      </c>
      <c r="E186" s="64">
        <v>5</v>
      </c>
      <c r="F186" s="65" t="s">
        <v>41</v>
      </c>
    </row>
    <row r="187" spans="1:6" x14ac:dyDescent="0.25">
      <c r="A187" s="64" t="s">
        <v>498</v>
      </c>
      <c r="B187" s="64" t="s">
        <v>427</v>
      </c>
      <c r="C187" s="64" t="s">
        <v>493</v>
      </c>
      <c r="D187" s="64">
        <v>0</v>
      </c>
      <c r="E187" s="64">
        <v>5</v>
      </c>
      <c r="F187" s="65" t="s">
        <v>41</v>
      </c>
    </row>
    <row r="188" spans="1:6" x14ac:dyDescent="0.25">
      <c r="A188" s="64" t="s">
        <v>499</v>
      </c>
      <c r="B188" s="64" t="s">
        <v>500</v>
      </c>
      <c r="C188" s="64" t="s">
        <v>493</v>
      </c>
      <c r="D188" s="64">
        <v>0</v>
      </c>
      <c r="E188" s="64">
        <v>5</v>
      </c>
      <c r="F188" s="65" t="s">
        <v>41</v>
      </c>
    </row>
    <row r="189" spans="1:6" x14ac:dyDescent="0.25">
      <c r="A189" s="64" t="s">
        <v>501</v>
      </c>
      <c r="B189" s="64" t="s">
        <v>449</v>
      </c>
      <c r="C189" s="64" t="s">
        <v>493</v>
      </c>
      <c r="D189" s="64">
        <v>0</v>
      </c>
      <c r="E189" s="64">
        <v>5</v>
      </c>
      <c r="F189" s="65" t="s">
        <v>41</v>
      </c>
    </row>
    <row r="190" spans="1:6" x14ac:dyDescent="0.25">
      <c r="A190" s="64" t="s">
        <v>502</v>
      </c>
      <c r="B190" s="64" t="s">
        <v>503</v>
      </c>
      <c r="C190" s="64" t="s">
        <v>493</v>
      </c>
      <c r="D190" s="64">
        <v>0</v>
      </c>
      <c r="E190" s="64">
        <v>5</v>
      </c>
      <c r="F190" s="65" t="s">
        <v>41</v>
      </c>
    </row>
    <row r="191" spans="1:6" x14ac:dyDescent="0.25">
      <c r="A191" s="64" t="s">
        <v>504</v>
      </c>
      <c r="B191" s="64" t="s">
        <v>505</v>
      </c>
      <c r="C191" s="64" t="s">
        <v>493</v>
      </c>
      <c r="D191" s="64">
        <v>0</v>
      </c>
      <c r="E191" s="64">
        <v>5</v>
      </c>
      <c r="F191" s="65" t="s">
        <v>41</v>
      </c>
    </row>
    <row r="192" spans="1:6" x14ac:dyDescent="0.25">
      <c r="A192" s="64" t="s">
        <v>506</v>
      </c>
      <c r="B192" s="64" t="s">
        <v>507</v>
      </c>
      <c r="C192" s="64" t="s">
        <v>493</v>
      </c>
      <c r="D192" s="64">
        <v>0</v>
      </c>
      <c r="E192" s="64">
        <v>5</v>
      </c>
      <c r="F192" s="65" t="s">
        <v>41</v>
      </c>
    </row>
    <row r="193" spans="1:6" x14ac:dyDescent="0.25">
      <c r="A193" s="64" t="s">
        <v>508</v>
      </c>
      <c r="B193" s="64" t="s">
        <v>509</v>
      </c>
      <c r="C193" s="64" t="s">
        <v>493</v>
      </c>
      <c r="D193" s="64">
        <v>0</v>
      </c>
      <c r="E193" s="64">
        <v>5</v>
      </c>
      <c r="F193" s="65" t="s">
        <v>41</v>
      </c>
    </row>
    <row r="194" spans="1:6" x14ac:dyDescent="0.25">
      <c r="A194" s="64" t="s">
        <v>510</v>
      </c>
      <c r="B194" s="64" t="s">
        <v>511</v>
      </c>
      <c r="C194" s="64" t="s">
        <v>493</v>
      </c>
      <c r="D194" s="64">
        <v>0</v>
      </c>
      <c r="E194" s="64">
        <v>5</v>
      </c>
      <c r="F194" s="65" t="s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J37"/>
  <sheetViews>
    <sheetView workbookViewId="0"/>
  </sheetViews>
  <sheetFormatPr baseColWidth="10" defaultRowHeight="15" x14ac:dyDescent="0.25"/>
  <sheetData>
    <row r="1" spans="1:10" ht="20.25" x14ac:dyDescent="0.25">
      <c r="A1" s="22" t="s">
        <v>704</v>
      </c>
      <c r="B1" s="22"/>
      <c r="C1" s="22"/>
      <c r="D1" s="22"/>
      <c r="E1" s="22"/>
      <c r="F1" s="22"/>
    </row>
    <row r="3" spans="1:10" ht="60" x14ac:dyDescent="0.25">
      <c r="A3" s="68" t="s">
        <v>705</v>
      </c>
      <c r="B3" s="68"/>
      <c r="C3" s="69" t="s">
        <v>706</v>
      </c>
      <c r="D3" s="69"/>
      <c r="E3" s="68" t="s">
        <v>707</v>
      </c>
      <c r="F3" s="68"/>
      <c r="G3" s="69" t="s">
        <v>708</v>
      </c>
      <c r="H3" s="69"/>
      <c r="I3" s="70" t="s">
        <v>709</v>
      </c>
      <c r="J3" s="70"/>
    </row>
    <row r="4" spans="1:10" ht="26.25" x14ac:dyDescent="0.25">
      <c r="A4" s="71" t="e">
        <f>COUNTIF(#REF!,"OUI")</f>
        <v>#REF!</v>
      </c>
      <c r="B4" s="71"/>
      <c r="C4" s="71" t="e">
        <f>SUMPRODUCT((COUNTIFS(#REF!,#REF!)&gt;1)*(#REF!&lt;&gt;""))</f>
        <v>#REF!</v>
      </c>
      <c r="D4" s="71"/>
      <c r="E4" s="71" t="e">
        <f>COUNTIF(#REF!,"OUI")</f>
        <v>#REF!</v>
      </c>
      <c r="F4" s="71"/>
      <c r="G4" s="71" t="e">
        <f ca="1">SUMPRODUCT((#REF!&lt;&gt;"")*(#REF!-TODAY()&lt;=60)*(#REF!-TODAY()&gt;=0))</f>
        <v>#REF!</v>
      </c>
      <c r="H4" s="71"/>
      <c r="I4" s="71" t="e">
        <f>SUMPRODUCT((#REF!&lt;&gt;"")*(#REF!&gt;180))</f>
        <v>#REF!</v>
      </c>
      <c r="J4" s="71"/>
    </row>
    <row r="5" spans="1:10" ht="26.25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</row>
    <row r="8" spans="1:10" ht="409.5" x14ac:dyDescent="0.25">
      <c r="A8" s="23" t="s">
        <v>710</v>
      </c>
      <c r="B8" s="23"/>
      <c r="C8" s="23"/>
      <c r="D8" s="23"/>
      <c r="E8" s="23"/>
      <c r="F8" s="23"/>
    </row>
    <row r="11" spans="1:10" ht="17.25" x14ac:dyDescent="0.3">
      <c r="A11" s="61" t="s">
        <v>711</v>
      </c>
      <c r="B11" s="61"/>
      <c r="C11" s="61"/>
      <c r="D11" s="61"/>
      <c r="E11" s="61"/>
      <c r="F11" s="61"/>
    </row>
    <row r="12" spans="1:10" ht="49.5" x14ac:dyDescent="0.25">
      <c r="A12" s="24" t="s">
        <v>669</v>
      </c>
      <c r="B12" s="24" t="s">
        <v>673</v>
      </c>
      <c r="C12" s="24" t="s">
        <v>55</v>
      </c>
      <c r="D12" s="24" t="s">
        <v>671</v>
      </c>
      <c r="E12" s="24" t="s">
        <v>678</v>
      </c>
      <c r="F12" s="24" t="s">
        <v>712</v>
      </c>
    </row>
    <row r="13" spans="1:10" x14ac:dyDescent="0.25">
      <c r="A13" s="64" t="str">
        <f>IFERROR(INDEX(#REF!,MATCH("RETARD|R"&amp;1,#REF!,0)),"")</f>
        <v/>
      </c>
      <c r="B13" s="64" t="str">
        <f>IFERROR(INDEX(#REF!,MATCH("RETARD|R"&amp;1,#REF!,0)),"")</f>
        <v/>
      </c>
      <c r="C13" s="64" t="str">
        <f>IFERROR(INDEX(#REF!,MATCH("RETARD|R"&amp;1,#REF!,0)),"")</f>
        <v/>
      </c>
      <c r="D13" s="64" t="str">
        <f>IFERROR(INDEX(#REF!,MATCH("RETARD|R"&amp;1,#REF!,0)),"")</f>
        <v/>
      </c>
      <c r="E13" s="72" t="str">
        <f>IFERROR(INDEX(#REF!,MATCH("RETARD|R"&amp;1,#REF!,0)),"")</f>
        <v/>
      </c>
      <c r="F13" s="64" t="str">
        <f t="shared" ref="F13:F37" ca="1" si="0">IF(E13&lt;&gt;"",TODAY()-E13,"")</f>
        <v/>
      </c>
    </row>
    <row r="14" spans="1:10" x14ac:dyDescent="0.25">
      <c r="A14" s="73" t="str">
        <f>IFERROR(INDEX(#REF!,MATCH("RETARD|R"&amp;2,#REF!,0)),"")</f>
        <v/>
      </c>
      <c r="B14" s="73" t="str">
        <f>IFERROR(INDEX(#REF!,MATCH("RETARD|R"&amp;2,#REF!,0)),"")</f>
        <v/>
      </c>
      <c r="C14" s="73" t="str">
        <f>IFERROR(INDEX(#REF!,MATCH("RETARD|R"&amp;2,#REF!,0)),"")</f>
        <v/>
      </c>
      <c r="D14" s="73" t="str">
        <f>IFERROR(INDEX(#REF!,MATCH("RETARD|R"&amp;2,#REF!,0)),"")</f>
        <v/>
      </c>
      <c r="E14" s="74" t="str">
        <f>IFERROR(INDEX(#REF!,MATCH("RETARD|R"&amp;2,#REF!,0)),"")</f>
        <v/>
      </c>
      <c r="F14" s="73" t="str">
        <f t="shared" ca="1" si="0"/>
        <v/>
      </c>
    </row>
    <row r="15" spans="1:10" x14ac:dyDescent="0.25">
      <c r="A15" s="64" t="str">
        <f>IFERROR(INDEX(#REF!,MATCH("RETARD|R"&amp;3,#REF!,0)),"")</f>
        <v/>
      </c>
      <c r="B15" s="64" t="str">
        <f>IFERROR(INDEX(#REF!,MATCH("RETARD|R"&amp;3,#REF!,0)),"")</f>
        <v/>
      </c>
      <c r="C15" s="64" t="str">
        <f>IFERROR(INDEX(#REF!,MATCH("RETARD|R"&amp;3,#REF!,0)),"")</f>
        <v/>
      </c>
      <c r="D15" s="64" t="str">
        <f>IFERROR(INDEX(#REF!,MATCH("RETARD|R"&amp;3,#REF!,0)),"")</f>
        <v/>
      </c>
      <c r="E15" s="72" t="str">
        <f>IFERROR(INDEX(#REF!,MATCH("RETARD|R"&amp;3,#REF!,0)),"")</f>
        <v/>
      </c>
      <c r="F15" s="64" t="str">
        <f t="shared" ca="1" si="0"/>
        <v/>
      </c>
    </row>
    <row r="16" spans="1:10" x14ac:dyDescent="0.25">
      <c r="A16" s="73" t="str">
        <f>IFERROR(INDEX(#REF!,MATCH("RETARD|R"&amp;4,#REF!,0)),"")</f>
        <v/>
      </c>
      <c r="B16" s="73" t="str">
        <f>IFERROR(INDEX(#REF!,MATCH("RETARD|R"&amp;4,#REF!,0)),"")</f>
        <v/>
      </c>
      <c r="C16" s="73" t="str">
        <f>IFERROR(INDEX(#REF!,MATCH("RETARD|R"&amp;4,#REF!,0)),"")</f>
        <v/>
      </c>
      <c r="D16" s="73" t="str">
        <f>IFERROR(INDEX(#REF!,MATCH("RETARD|R"&amp;4,#REF!,0)),"")</f>
        <v/>
      </c>
      <c r="E16" s="74" t="str">
        <f>IFERROR(INDEX(#REF!,MATCH("RETARD|R"&amp;4,#REF!,0)),"")</f>
        <v/>
      </c>
      <c r="F16" s="73" t="str">
        <f t="shared" ca="1" si="0"/>
        <v/>
      </c>
    </row>
    <row r="17" spans="1:6" x14ac:dyDescent="0.25">
      <c r="A17" s="64" t="str">
        <f>IFERROR(INDEX(#REF!,MATCH("RETARD|R"&amp;5,#REF!,0)),"")</f>
        <v/>
      </c>
      <c r="B17" s="64" t="str">
        <f>IFERROR(INDEX(#REF!,MATCH("RETARD|R"&amp;5,#REF!,0)),"")</f>
        <v/>
      </c>
      <c r="C17" s="64" t="str">
        <f>IFERROR(INDEX(#REF!,MATCH("RETARD|R"&amp;5,#REF!,0)),"")</f>
        <v/>
      </c>
      <c r="D17" s="64" t="str">
        <f>IFERROR(INDEX(#REF!,MATCH("RETARD|R"&amp;5,#REF!,0)),"")</f>
        <v/>
      </c>
      <c r="E17" s="72" t="str">
        <f>IFERROR(INDEX(#REF!,MATCH("RETARD|R"&amp;5,#REF!,0)),"")</f>
        <v/>
      </c>
      <c r="F17" s="64" t="str">
        <f t="shared" ca="1" si="0"/>
        <v/>
      </c>
    </row>
    <row r="18" spans="1:6" x14ac:dyDescent="0.25">
      <c r="A18" s="73" t="str">
        <f>IFERROR(INDEX(#REF!,MATCH("RETARD|R"&amp;6,#REF!,0)),"")</f>
        <v/>
      </c>
      <c r="B18" s="73" t="str">
        <f>IFERROR(INDEX(#REF!,MATCH("RETARD|R"&amp;6,#REF!,0)),"")</f>
        <v/>
      </c>
      <c r="C18" s="73" t="str">
        <f>IFERROR(INDEX(#REF!,MATCH("RETARD|R"&amp;6,#REF!,0)),"")</f>
        <v/>
      </c>
      <c r="D18" s="73" t="str">
        <f>IFERROR(INDEX(#REF!,MATCH("RETARD|R"&amp;6,#REF!,0)),"")</f>
        <v/>
      </c>
      <c r="E18" s="74" t="str">
        <f>IFERROR(INDEX(#REF!,MATCH("RETARD|R"&amp;6,#REF!,0)),"")</f>
        <v/>
      </c>
      <c r="F18" s="73" t="str">
        <f t="shared" ca="1" si="0"/>
        <v/>
      </c>
    </row>
    <row r="19" spans="1:6" x14ac:dyDescent="0.25">
      <c r="A19" s="64" t="str">
        <f>IFERROR(INDEX(#REF!,MATCH("RETARD|R"&amp;7,#REF!,0)),"")</f>
        <v/>
      </c>
      <c r="B19" s="64" t="str">
        <f>IFERROR(INDEX(#REF!,MATCH("RETARD|R"&amp;7,#REF!,0)),"")</f>
        <v/>
      </c>
      <c r="C19" s="64" t="str">
        <f>IFERROR(INDEX(#REF!,MATCH("RETARD|R"&amp;7,#REF!,0)),"")</f>
        <v/>
      </c>
      <c r="D19" s="64" t="str">
        <f>IFERROR(INDEX(#REF!,MATCH("RETARD|R"&amp;7,#REF!,0)),"")</f>
        <v/>
      </c>
      <c r="E19" s="72" t="str">
        <f>IFERROR(INDEX(#REF!,MATCH("RETARD|R"&amp;7,#REF!,0)),"")</f>
        <v/>
      </c>
      <c r="F19" s="64" t="str">
        <f t="shared" ca="1" si="0"/>
        <v/>
      </c>
    </row>
    <row r="20" spans="1:6" x14ac:dyDescent="0.25">
      <c r="A20" s="73" t="str">
        <f>IFERROR(INDEX(#REF!,MATCH("RETARD|R"&amp;8,#REF!,0)),"")</f>
        <v/>
      </c>
      <c r="B20" s="73" t="str">
        <f>IFERROR(INDEX(#REF!,MATCH("RETARD|R"&amp;8,#REF!,0)),"")</f>
        <v/>
      </c>
      <c r="C20" s="73" t="str">
        <f>IFERROR(INDEX(#REF!,MATCH("RETARD|R"&amp;8,#REF!,0)),"")</f>
        <v/>
      </c>
      <c r="D20" s="73" t="str">
        <f>IFERROR(INDEX(#REF!,MATCH("RETARD|R"&amp;8,#REF!,0)),"")</f>
        <v/>
      </c>
      <c r="E20" s="74" t="str">
        <f>IFERROR(INDEX(#REF!,MATCH("RETARD|R"&amp;8,#REF!,0)),"")</f>
        <v/>
      </c>
      <c r="F20" s="73" t="str">
        <f t="shared" ca="1" si="0"/>
        <v/>
      </c>
    </row>
    <row r="21" spans="1:6" x14ac:dyDescent="0.25">
      <c r="A21" s="64" t="str">
        <f>IFERROR(INDEX(#REF!,MATCH("RETARD|R"&amp;9,#REF!,0)),"")</f>
        <v/>
      </c>
      <c r="B21" s="64" t="str">
        <f>IFERROR(INDEX(#REF!,MATCH("RETARD|R"&amp;9,#REF!,0)),"")</f>
        <v/>
      </c>
      <c r="C21" s="64" t="str">
        <f>IFERROR(INDEX(#REF!,MATCH("RETARD|R"&amp;9,#REF!,0)),"")</f>
        <v/>
      </c>
      <c r="D21" s="64" t="str">
        <f>IFERROR(INDEX(#REF!,MATCH("RETARD|R"&amp;9,#REF!,0)),"")</f>
        <v/>
      </c>
      <c r="E21" s="72" t="str">
        <f>IFERROR(INDEX(#REF!,MATCH("RETARD|R"&amp;9,#REF!,0)),"")</f>
        <v/>
      </c>
      <c r="F21" s="64" t="str">
        <f t="shared" ca="1" si="0"/>
        <v/>
      </c>
    </row>
    <row r="22" spans="1:6" x14ac:dyDescent="0.25">
      <c r="A22" s="73" t="str">
        <f>IFERROR(INDEX(#REF!,MATCH("RETARD|R"&amp;10,#REF!,0)),"")</f>
        <v/>
      </c>
      <c r="B22" s="73" t="str">
        <f>IFERROR(INDEX(#REF!,MATCH("RETARD|R"&amp;10,#REF!,0)),"")</f>
        <v/>
      </c>
      <c r="C22" s="73" t="str">
        <f>IFERROR(INDEX(#REF!,MATCH("RETARD|R"&amp;10,#REF!,0)),"")</f>
        <v/>
      </c>
      <c r="D22" s="73" t="str">
        <f>IFERROR(INDEX(#REF!,MATCH("RETARD|R"&amp;10,#REF!,0)),"")</f>
        <v/>
      </c>
      <c r="E22" s="74" t="str">
        <f>IFERROR(INDEX(#REF!,MATCH("RETARD|R"&amp;10,#REF!,0)),"")</f>
        <v/>
      </c>
      <c r="F22" s="73" t="str">
        <f t="shared" ca="1" si="0"/>
        <v/>
      </c>
    </row>
    <row r="23" spans="1:6" x14ac:dyDescent="0.25">
      <c r="A23" s="64" t="str">
        <f>IFERROR(INDEX(#REF!,MATCH("RETARD|R"&amp;11,#REF!,0)),"")</f>
        <v/>
      </c>
      <c r="B23" s="64" t="str">
        <f>IFERROR(INDEX(#REF!,MATCH("RETARD|R"&amp;11,#REF!,0)),"")</f>
        <v/>
      </c>
      <c r="C23" s="64" t="str">
        <f>IFERROR(INDEX(#REF!,MATCH("RETARD|R"&amp;11,#REF!,0)),"")</f>
        <v/>
      </c>
      <c r="D23" s="64" t="str">
        <f>IFERROR(INDEX(#REF!,MATCH("RETARD|R"&amp;11,#REF!,0)),"")</f>
        <v/>
      </c>
      <c r="E23" s="72" t="str">
        <f>IFERROR(INDEX(#REF!,MATCH("RETARD|R"&amp;11,#REF!,0)),"")</f>
        <v/>
      </c>
      <c r="F23" s="64" t="str">
        <f t="shared" ca="1" si="0"/>
        <v/>
      </c>
    </row>
    <row r="24" spans="1:6" x14ac:dyDescent="0.25">
      <c r="A24" s="73" t="str">
        <f>IFERROR(INDEX(#REF!,MATCH("RETARD|R"&amp;12,#REF!,0)),"")</f>
        <v/>
      </c>
      <c r="B24" s="73" t="str">
        <f>IFERROR(INDEX(#REF!,MATCH("RETARD|R"&amp;12,#REF!,0)),"")</f>
        <v/>
      </c>
      <c r="C24" s="73" t="str">
        <f>IFERROR(INDEX(#REF!,MATCH("RETARD|R"&amp;12,#REF!,0)),"")</f>
        <v/>
      </c>
      <c r="D24" s="73" t="str">
        <f>IFERROR(INDEX(#REF!,MATCH("RETARD|R"&amp;12,#REF!,0)),"")</f>
        <v/>
      </c>
      <c r="E24" s="74" t="str">
        <f>IFERROR(INDEX(#REF!,MATCH("RETARD|R"&amp;12,#REF!,0)),"")</f>
        <v/>
      </c>
      <c r="F24" s="73" t="str">
        <f t="shared" ca="1" si="0"/>
        <v/>
      </c>
    </row>
    <row r="25" spans="1:6" x14ac:dyDescent="0.25">
      <c r="A25" s="64" t="str">
        <f>IFERROR(INDEX(#REF!,MATCH("RETARD|R"&amp;13,#REF!,0)),"")</f>
        <v/>
      </c>
      <c r="B25" s="64" t="str">
        <f>IFERROR(INDEX(#REF!,MATCH("RETARD|R"&amp;13,#REF!,0)),"")</f>
        <v/>
      </c>
      <c r="C25" s="64" t="str">
        <f>IFERROR(INDEX(#REF!,MATCH("RETARD|R"&amp;13,#REF!,0)),"")</f>
        <v/>
      </c>
      <c r="D25" s="64" t="str">
        <f>IFERROR(INDEX(#REF!,MATCH("RETARD|R"&amp;13,#REF!,0)),"")</f>
        <v/>
      </c>
      <c r="E25" s="72" t="str">
        <f>IFERROR(INDEX(#REF!,MATCH("RETARD|R"&amp;13,#REF!,0)),"")</f>
        <v/>
      </c>
      <c r="F25" s="64" t="str">
        <f t="shared" ca="1" si="0"/>
        <v/>
      </c>
    </row>
    <row r="26" spans="1:6" x14ac:dyDescent="0.25">
      <c r="A26" s="73" t="str">
        <f>IFERROR(INDEX(#REF!,MATCH("RETARD|R"&amp;14,#REF!,0)),"")</f>
        <v/>
      </c>
      <c r="B26" s="73" t="str">
        <f>IFERROR(INDEX(#REF!,MATCH("RETARD|R"&amp;14,#REF!,0)),"")</f>
        <v/>
      </c>
      <c r="C26" s="73" t="str">
        <f>IFERROR(INDEX(#REF!,MATCH("RETARD|R"&amp;14,#REF!,0)),"")</f>
        <v/>
      </c>
      <c r="D26" s="73" t="str">
        <f>IFERROR(INDEX(#REF!,MATCH("RETARD|R"&amp;14,#REF!,0)),"")</f>
        <v/>
      </c>
      <c r="E26" s="74" t="str">
        <f>IFERROR(INDEX(#REF!,MATCH("RETARD|R"&amp;14,#REF!,0)),"")</f>
        <v/>
      </c>
      <c r="F26" s="73" t="str">
        <f t="shared" ca="1" si="0"/>
        <v/>
      </c>
    </row>
    <row r="27" spans="1:6" x14ac:dyDescent="0.25">
      <c r="A27" s="64" t="str">
        <f>IFERROR(INDEX(#REF!,MATCH("RETARD|R"&amp;15,#REF!,0)),"")</f>
        <v/>
      </c>
      <c r="B27" s="64" t="str">
        <f>IFERROR(INDEX(#REF!,MATCH("RETARD|R"&amp;15,#REF!,0)),"")</f>
        <v/>
      </c>
      <c r="C27" s="64" t="str">
        <f>IFERROR(INDEX(#REF!,MATCH("RETARD|R"&amp;15,#REF!,0)),"")</f>
        <v/>
      </c>
      <c r="D27" s="64" t="str">
        <f>IFERROR(INDEX(#REF!,MATCH("RETARD|R"&amp;15,#REF!,0)),"")</f>
        <v/>
      </c>
      <c r="E27" s="72" t="str">
        <f>IFERROR(INDEX(#REF!,MATCH("RETARD|R"&amp;15,#REF!,0)),"")</f>
        <v/>
      </c>
      <c r="F27" s="64" t="str">
        <f t="shared" ca="1" si="0"/>
        <v/>
      </c>
    </row>
    <row r="28" spans="1:6" x14ac:dyDescent="0.25">
      <c r="A28" s="73" t="str">
        <f>IFERROR(INDEX(#REF!,MATCH("RETARD|R"&amp;16,#REF!,0)),"")</f>
        <v/>
      </c>
      <c r="B28" s="73" t="str">
        <f>IFERROR(INDEX(#REF!,MATCH("RETARD|R"&amp;16,#REF!,0)),"")</f>
        <v/>
      </c>
      <c r="C28" s="73" t="str">
        <f>IFERROR(INDEX(#REF!,MATCH("RETARD|R"&amp;16,#REF!,0)),"")</f>
        <v/>
      </c>
      <c r="D28" s="73" t="str">
        <f>IFERROR(INDEX(#REF!,MATCH("RETARD|R"&amp;16,#REF!,0)),"")</f>
        <v/>
      </c>
      <c r="E28" s="74" t="str">
        <f>IFERROR(INDEX(#REF!,MATCH("RETARD|R"&amp;16,#REF!,0)),"")</f>
        <v/>
      </c>
      <c r="F28" s="73" t="str">
        <f t="shared" ca="1" si="0"/>
        <v/>
      </c>
    </row>
    <row r="29" spans="1:6" x14ac:dyDescent="0.25">
      <c r="A29" s="64" t="str">
        <f>IFERROR(INDEX(#REF!,MATCH("RETARD|R"&amp;17,#REF!,0)),"")</f>
        <v/>
      </c>
      <c r="B29" s="64" t="str">
        <f>IFERROR(INDEX(#REF!,MATCH("RETARD|R"&amp;17,#REF!,0)),"")</f>
        <v/>
      </c>
      <c r="C29" s="64" t="str">
        <f>IFERROR(INDEX(#REF!,MATCH("RETARD|R"&amp;17,#REF!,0)),"")</f>
        <v/>
      </c>
      <c r="D29" s="64" t="str">
        <f>IFERROR(INDEX(#REF!,MATCH("RETARD|R"&amp;17,#REF!,0)),"")</f>
        <v/>
      </c>
      <c r="E29" s="72" t="str">
        <f>IFERROR(INDEX(#REF!,MATCH("RETARD|R"&amp;17,#REF!,0)),"")</f>
        <v/>
      </c>
      <c r="F29" s="64" t="str">
        <f t="shared" ca="1" si="0"/>
        <v/>
      </c>
    </row>
    <row r="30" spans="1:6" x14ac:dyDescent="0.25">
      <c r="A30" s="73" t="str">
        <f>IFERROR(INDEX(#REF!,MATCH("RETARD|R"&amp;18,#REF!,0)),"")</f>
        <v/>
      </c>
      <c r="B30" s="73" t="str">
        <f>IFERROR(INDEX(#REF!,MATCH("RETARD|R"&amp;18,#REF!,0)),"")</f>
        <v/>
      </c>
      <c r="C30" s="73" t="str">
        <f>IFERROR(INDEX(#REF!,MATCH("RETARD|R"&amp;18,#REF!,0)),"")</f>
        <v/>
      </c>
      <c r="D30" s="73" t="str">
        <f>IFERROR(INDEX(#REF!,MATCH("RETARD|R"&amp;18,#REF!,0)),"")</f>
        <v/>
      </c>
      <c r="E30" s="74" t="str">
        <f>IFERROR(INDEX(#REF!,MATCH("RETARD|R"&amp;18,#REF!,0)),"")</f>
        <v/>
      </c>
      <c r="F30" s="73" t="str">
        <f t="shared" ca="1" si="0"/>
        <v/>
      </c>
    </row>
    <row r="31" spans="1:6" x14ac:dyDescent="0.25">
      <c r="A31" s="64" t="str">
        <f>IFERROR(INDEX(#REF!,MATCH("RETARD|R"&amp;19,#REF!,0)),"")</f>
        <v/>
      </c>
      <c r="B31" s="64" t="str">
        <f>IFERROR(INDEX(#REF!,MATCH("RETARD|R"&amp;19,#REF!,0)),"")</f>
        <v/>
      </c>
      <c r="C31" s="64" t="str">
        <f>IFERROR(INDEX(#REF!,MATCH("RETARD|R"&amp;19,#REF!,0)),"")</f>
        <v/>
      </c>
      <c r="D31" s="64" t="str">
        <f>IFERROR(INDEX(#REF!,MATCH("RETARD|R"&amp;19,#REF!,0)),"")</f>
        <v/>
      </c>
      <c r="E31" s="72" t="str">
        <f>IFERROR(INDEX(#REF!,MATCH("RETARD|R"&amp;19,#REF!,0)),"")</f>
        <v/>
      </c>
      <c r="F31" s="64" t="str">
        <f t="shared" ca="1" si="0"/>
        <v/>
      </c>
    </row>
    <row r="32" spans="1:6" x14ac:dyDescent="0.25">
      <c r="A32" s="73" t="str">
        <f>IFERROR(INDEX(#REF!,MATCH("RETARD|R"&amp;20,#REF!,0)),"")</f>
        <v/>
      </c>
      <c r="B32" s="73" t="str">
        <f>IFERROR(INDEX(#REF!,MATCH("RETARD|R"&amp;20,#REF!,0)),"")</f>
        <v/>
      </c>
      <c r="C32" s="73" t="str">
        <f>IFERROR(INDEX(#REF!,MATCH("RETARD|R"&amp;20,#REF!,0)),"")</f>
        <v/>
      </c>
      <c r="D32" s="73" t="str">
        <f>IFERROR(INDEX(#REF!,MATCH("RETARD|R"&amp;20,#REF!,0)),"")</f>
        <v/>
      </c>
      <c r="E32" s="74" t="str">
        <f>IFERROR(INDEX(#REF!,MATCH("RETARD|R"&amp;20,#REF!,0)),"")</f>
        <v/>
      </c>
      <c r="F32" s="73" t="str">
        <f t="shared" ca="1" si="0"/>
        <v/>
      </c>
    </row>
    <row r="33" spans="1:6" x14ac:dyDescent="0.25">
      <c r="A33" s="64" t="str">
        <f>IFERROR(INDEX(#REF!,MATCH("RETARD|R"&amp;21,#REF!,0)),"")</f>
        <v/>
      </c>
      <c r="B33" s="64" t="str">
        <f>IFERROR(INDEX(#REF!,MATCH("RETARD|R"&amp;21,#REF!,0)),"")</f>
        <v/>
      </c>
      <c r="C33" s="64" t="str">
        <f>IFERROR(INDEX(#REF!,MATCH("RETARD|R"&amp;21,#REF!,0)),"")</f>
        <v/>
      </c>
      <c r="D33" s="64" t="str">
        <f>IFERROR(INDEX(#REF!,MATCH("RETARD|R"&amp;21,#REF!,0)),"")</f>
        <v/>
      </c>
      <c r="E33" s="72" t="str">
        <f>IFERROR(INDEX(#REF!,MATCH("RETARD|R"&amp;21,#REF!,0)),"")</f>
        <v/>
      </c>
      <c r="F33" s="64" t="str">
        <f t="shared" ca="1" si="0"/>
        <v/>
      </c>
    </row>
    <row r="34" spans="1:6" x14ac:dyDescent="0.25">
      <c r="A34" s="73" t="str">
        <f>IFERROR(INDEX(#REF!,MATCH("RETARD|R"&amp;22,#REF!,0)),"")</f>
        <v/>
      </c>
      <c r="B34" s="73" t="str">
        <f>IFERROR(INDEX(#REF!,MATCH("RETARD|R"&amp;22,#REF!,0)),"")</f>
        <v/>
      </c>
      <c r="C34" s="73" t="str">
        <f>IFERROR(INDEX(#REF!,MATCH("RETARD|R"&amp;22,#REF!,0)),"")</f>
        <v/>
      </c>
      <c r="D34" s="73" t="str">
        <f>IFERROR(INDEX(#REF!,MATCH("RETARD|R"&amp;22,#REF!,0)),"")</f>
        <v/>
      </c>
      <c r="E34" s="74" t="str">
        <f>IFERROR(INDEX(#REF!,MATCH("RETARD|R"&amp;22,#REF!,0)),"")</f>
        <v/>
      </c>
      <c r="F34" s="73" t="str">
        <f t="shared" ca="1" si="0"/>
        <v/>
      </c>
    </row>
    <row r="35" spans="1:6" x14ac:dyDescent="0.25">
      <c r="A35" s="64" t="str">
        <f>IFERROR(INDEX(#REF!,MATCH("RETARD|R"&amp;23,#REF!,0)),"")</f>
        <v/>
      </c>
      <c r="B35" s="64" t="str">
        <f>IFERROR(INDEX(#REF!,MATCH("RETARD|R"&amp;23,#REF!,0)),"")</f>
        <v/>
      </c>
      <c r="C35" s="64" t="str">
        <f>IFERROR(INDEX(#REF!,MATCH("RETARD|R"&amp;23,#REF!,0)),"")</f>
        <v/>
      </c>
      <c r="D35" s="64" t="str">
        <f>IFERROR(INDEX(#REF!,MATCH("RETARD|R"&amp;23,#REF!,0)),"")</f>
        <v/>
      </c>
      <c r="E35" s="72" t="str">
        <f>IFERROR(INDEX(#REF!,MATCH("RETARD|R"&amp;23,#REF!,0)),"")</f>
        <v/>
      </c>
      <c r="F35" s="64" t="str">
        <f t="shared" ca="1" si="0"/>
        <v/>
      </c>
    </row>
    <row r="36" spans="1:6" x14ac:dyDescent="0.25">
      <c r="A36" s="73" t="str">
        <f>IFERROR(INDEX(#REF!,MATCH("RETARD|R"&amp;24,#REF!,0)),"")</f>
        <v/>
      </c>
      <c r="B36" s="73" t="str">
        <f>IFERROR(INDEX(#REF!,MATCH("RETARD|R"&amp;24,#REF!,0)),"")</f>
        <v/>
      </c>
      <c r="C36" s="73" t="str">
        <f>IFERROR(INDEX(#REF!,MATCH("RETARD|R"&amp;24,#REF!,0)),"")</f>
        <v/>
      </c>
      <c r="D36" s="73" t="str">
        <f>IFERROR(INDEX(#REF!,MATCH("RETARD|R"&amp;24,#REF!,0)),"")</f>
        <v/>
      </c>
      <c r="E36" s="74" t="str">
        <f>IFERROR(INDEX(#REF!,MATCH("RETARD|R"&amp;24,#REF!,0)),"")</f>
        <v/>
      </c>
      <c r="F36" s="73" t="str">
        <f t="shared" ca="1" si="0"/>
        <v/>
      </c>
    </row>
    <row r="37" spans="1:6" x14ac:dyDescent="0.25">
      <c r="A37" s="64" t="str">
        <f>IFERROR(INDEX(#REF!,MATCH("RETARD|R"&amp;25,#REF!,0)),"")</f>
        <v/>
      </c>
      <c r="B37" s="64" t="str">
        <f>IFERROR(INDEX(#REF!,MATCH("RETARD|R"&amp;25,#REF!,0)),"")</f>
        <v/>
      </c>
      <c r="C37" s="64" t="str">
        <f>IFERROR(INDEX(#REF!,MATCH("RETARD|R"&amp;25,#REF!,0)),"")</f>
        <v/>
      </c>
      <c r="D37" s="64" t="str">
        <f>IFERROR(INDEX(#REF!,MATCH("RETARD|R"&amp;25,#REF!,0)),"")</f>
        <v/>
      </c>
      <c r="E37" s="72" t="str">
        <f>IFERROR(INDEX(#REF!,MATCH("RETARD|R"&amp;25,#REF!,0)),"")</f>
        <v/>
      </c>
      <c r="F37" s="64" t="str">
        <f t="shared" ca="1" si="0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F13"/>
  <sheetViews>
    <sheetView workbookViewId="0"/>
  </sheetViews>
  <sheetFormatPr baseColWidth="10" defaultRowHeight="15" x14ac:dyDescent="0.25"/>
  <sheetData>
    <row r="1" spans="1:6" ht="18.75" x14ac:dyDescent="0.25">
      <c r="A1" s="75" t="s">
        <v>713</v>
      </c>
      <c r="B1" s="75"/>
      <c r="C1" s="75"/>
      <c r="D1" s="75"/>
      <c r="E1" s="75"/>
      <c r="F1" s="75"/>
    </row>
    <row r="2" spans="1:6" ht="409.5" x14ac:dyDescent="0.25">
      <c r="A2" s="23" t="s">
        <v>714</v>
      </c>
      <c r="B2" s="23"/>
      <c r="C2" s="23"/>
      <c r="D2" s="23"/>
      <c r="E2" s="23"/>
      <c r="F2" s="23"/>
    </row>
    <row r="4" spans="1:6" ht="49.5" x14ac:dyDescent="0.25">
      <c r="A4" s="24" t="s">
        <v>514</v>
      </c>
      <c r="B4" s="24" t="s">
        <v>715</v>
      </c>
      <c r="C4" s="24" t="s">
        <v>519</v>
      </c>
      <c r="D4" s="24" t="s">
        <v>516</v>
      </c>
      <c r="E4" s="24" t="s">
        <v>716</v>
      </c>
      <c r="F4" s="24" t="s">
        <v>717</v>
      </c>
    </row>
    <row r="5" spans="1:6" ht="28.5" x14ac:dyDescent="0.25">
      <c r="A5" s="76">
        <v>46035</v>
      </c>
      <c r="B5" s="77" t="s">
        <v>137</v>
      </c>
      <c r="C5" s="78">
        <v>10000</v>
      </c>
      <c r="D5" s="77" t="s">
        <v>525</v>
      </c>
      <c r="E5" s="77" t="s">
        <v>136</v>
      </c>
      <c r="F5" s="77"/>
    </row>
    <row r="6" spans="1:6" ht="28.5" x14ac:dyDescent="0.25">
      <c r="A6" s="79">
        <v>46037</v>
      </c>
      <c r="B6" s="80" t="s">
        <v>718</v>
      </c>
      <c r="C6" s="81">
        <v>140</v>
      </c>
      <c r="D6" s="80" t="s">
        <v>719</v>
      </c>
      <c r="E6" s="80" t="s">
        <v>100</v>
      </c>
      <c r="F6" s="80"/>
    </row>
    <row r="7" spans="1:6" ht="28.5" x14ac:dyDescent="0.25">
      <c r="A7" s="76">
        <v>46038</v>
      </c>
      <c r="B7" s="77" t="s">
        <v>137</v>
      </c>
      <c r="C7" s="78">
        <v>10000</v>
      </c>
      <c r="D7" s="77" t="s">
        <v>525</v>
      </c>
      <c r="E7" s="77" t="s">
        <v>136</v>
      </c>
      <c r="F7" s="77"/>
    </row>
    <row r="8" spans="1:6" ht="28.5" x14ac:dyDescent="0.25">
      <c r="A8" s="79">
        <v>46041</v>
      </c>
      <c r="B8" s="80" t="s">
        <v>137</v>
      </c>
      <c r="C8" s="81">
        <v>15000</v>
      </c>
      <c r="D8" s="80" t="s">
        <v>720</v>
      </c>
      <c r="E8" s="80" t="s">
        <v>136</v>
      </c>
      <c r="F8" s="80"/>
    </row>
    <row r="9" spans="1:6" ht="28.5" x14ac:dyDescent="0.25">
      <c r="A9" s="76">
        <v>46042</v>
      </c>
      <c r="B9" s="77" t="s">
        <v>137</v>
      </c>
      <c r="C9" s="78">
        <v>2000</v>
      </c>
      <c r="D9" s="77" t="s">
        <v>525</v>
      </c>
      <c r="E9" s="77" t="s">
        <v>136</v>
      </c>
      <c r="F9" s="77"/>
    </row>
    <row r="10" spans="1:6" ht="71.25" x14ac:dyDescent="0.25">
      <c r="A10" s="82">
        <v>46043</v>
      </c>
      <c r="B10" s="83" t="s">
        <v>721</v>
      </c>
      <c r="C10" s="84">
        <v>92</v>
      </c>
      <c r="D10" s="83" t="s">
        <v>722</v>
      </c>
      <c r="E10" s="83" t="s">
        <v>723</v>
      </c>
      <c r="F10" s="83" t="s">
        <v>724</v>
      </c>
    </row>
    <row r="11" spans="1:6" x14ac:dyDescent="0.25">
      <c r="A11" s="76">
        <v>46043</v>
      </c>
      <c r="B11" s="77" t="s">
        <v>725</v>
      </c>
      <c r="C11" s="78">
        <v>150</v>
      </c>
      <c r="D11" s="77" t="s">
        <v>722</v>
      </c>
      <c r="E11" s="77" t="s">
        <v>132</v>
      </c>
      <c r="F11" s="77"/>
    </row>
    <row r="12" spans="1:6" ht="57" x14ac:dyDescent="0.25">
      <c r="A12" s="82">
        <v>46043</v>
      </c>
      <c r="B12" s="83" t="s">
        <v>726</v>
      </c>
      <c r="C12" s="84">
        <v>306</v>
      </c>
      <c r="D12" s="83" t="s">
        <v>722</v>
      </c>
      <c r="E12" s="83" t="s">
        <v>723</v>
      </c>
      <c r="F12" s="83" t="s">
        <v>727</v>
      </c>
    </row>
    <row r="13" spans="1:6" ht="57" x14ac:dyDescent="0.25">
      <c r="A13" s="82">
        <v>46044</v>
      </c>
      <c r="B13" s="83" t="s">
        <v>726</v>
      </c>
      <c r="C13" s="84">
        <v>600</v>
      </c>
      <c r="D13" s="83" t="s">
        <v>722</v>
      </c>
      <c r="E13" s="83" t="s">
        <v>723</v>
      </c>
      <c r="F13" s="83" t="s">
        <v>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11"/>
  <sheetViews>
    <sheetView workbookViewId="0"/>
  </sheetViews>
  <sheetFormatPr baseColWidth="10" defaultRowHeight="15" x14ac:dyDescent="0.25"/>
  <sheetData>
    <row r="1" spans="1:12" ht="20.25" x14ac:dyDescent="0.25">
      <c r="A1" s="22" t="s">
        <v>728</v>
      </c>
      <c r="B1" s="22"/>
      <c r="C1" s="22"/>
      <c r="D1" s="22"/>
      <c r="E1" s="22"/>
      <c r="F1" s="22"/>
    </row>
    <row r="3" spans="1:12" ht="33" x14ac:dyDescent="0.25">
      <c r="A3" s="85" t="s">
        <v>729</v>
      </c>
      <c r="B3" s="85" t="s">
        <v>730</v>
      </c>
      <c r="C3" s="85" t="s">
        <v>731</v>
      </c>
      <c r="D3" s="85" t="s">
        <v>732</v>
      </c>
      <c r="E3" s="85" t="s">
        <v>733</v>
      </c>
      <c r="F3" s="85" t="s">
        <v>734</v>
      </c>
      <c r="G3" s="85" t="s">
        <v>735</v>
      </c>
      <c r="H3" s="85" t="s">
        <v>736</v>
      </c>
      <c r="I3" s="85" t="s">
        <v>737</v>
      </c>
      <c r="J3" s="85" t="s">
        <v>738</v>
      </c>
      <c r="K3" s="85" t="s">
        <v>739</v>
      </c>
      <c r="L3" s="85" t="s">
        <v>740</v>
      </c>
    </row>
    <row r="4" spans="1:12" x14ac:dyDescent="0.25">
      <c r="A4" s="86" t="s">
        <v>36</v>
      </c>
      <c r="B4" s="86" t="s">
        <v>84</v>
      </c>
      <c r="C4" s="86" t="s">
        <v>525</v>
      </c>
      <c r="D4" s="86" t="s">
        <v>85</v>
      </c>
      <c r="E4" s="86" t="s">
        <v>526</v>
      </c>
      <c r="F4" s="86" t="s">
        <v>58</v>
      </c>
      <c r="G4" s="86" t="s">
        <v>58</v>
      </c>
      <c r="H4" s="86" t="s">
        <v>37</v>
      </c>
      <c r="I4" s="86" t="s">
        <v>741</v>
      </c>
      <c r="J4" s="86" t="s">
        <v>652</v>
      </c>
      <c r="K4" s="86" t="s">
        <v>651</v>
      </c>
      <c r="L4" s="86" t="s">
        <v>85</v>
      </c>
    </row>
    <row r="5" spans="1:12" x14ac:dyDescent="0.25">
      <c r="A5" s="87" t="s">
        <v>38</v>
      </c>
      <c r="B5" s="87" t="s">
        <v>742</v>
      </c>
      <c r="C5" s="87" t="s">
        <v>719</v>
      </c>
      <c r="D5" s="87" t="s">
        <v>743</v>
      </c>
      <c r="E5" s="87" t="s">
        <v>38</v>
      </c>
      <c r="F5" s="87" t="s">
        <v>57</v>
      </c>
      <c r="G5" s="87" t="s">
        <v>60</v>
      </c>
      <c r="H5" s="87" t="s">
        <v>39</v>
      </c>
      <c r="I5" s="87" t="s">
        <v>744</v>
      </c>
      <c r="J5" s="87" t="s">
        <v>660</v>
      </c>
      <c r="K5" s="87" t="s">
        <v>659</v>
      </c>
      <c r="L5" s="87" t="s">
        <v>745</v>
      </c>
    </row>
    <row r="6" spans="1:12" x14ac:dyDescent="0.25">
      <c r="A6" s="86" t="s">
        <v>40</v>
      </c>
      <c r="B6" s="86" t="s">
        <v>746</v>
      </c>
      <c r="C6" s="86" t="s">
        <v>720</v>
      </c>
      <c r="E6" s="86" t="s">
        <v>747</v>
      </c>
      <c r="F6" s="86" t="s">
        <v>62</v>
      </c>
      <c r="G6" s="86" t="s">
        <v>63</v>
      </c>
      <c r="H6" s="86" t="s">
        <v>41</v>
      </c>
      <c r="I6" s="86" t="s">
        <v>748</v>
      </c>
      <c r="J6" s="86" t="s">
        <v>749</v>
      </c>
      <c r="K6" s="86" t="s">
        <v>664</v>
      </c>
      <c r="L6" s="86" t="s">
        <v>750</v>
      </c>
    </row>
    <row r="7" spans="1:12" x14ac:dyDescent="0.25">
      <c r="A7" s="87" t="s">
        <v>751</v>
      </c>
      <c r="B7" s="87" t="s">
        <v>752</v>
      </c>
      <c r="C7" s="87" t="s">
        <v>722</v>
      </c>
      <c r="E7" s="87" t="s">
        <v>753</v>
      </c>
      <c r="F7" s="87" t="s">
        <v>60</v>
      </c>
      <c r="G7" s="87" t="s">
        <v>64</v>
      </c>
      <c r="H7" s="87" t="s">
        <v>43</v>
      </c>
      <c r="J7" s="87" t="s">
        <v>754</v>
      </c>
      <c r="K7" s="87" t="s">
        <v>755</v>
      </c>
    </row>
    <row r="8" spans="1:12" x14ac:dyDescent="0.25">
      <c r="A8" s="86" t="s">
        <v>42</v>
      </c>
      <c r="B8" s="86" t="s">
        <v>534</v>
      </c>
      <c r="C8" s="86" t="s">
        <v>755</v>
      </c>
      <c r="E8" s="86" t="s">
        <v>755</v>
      </c>
      <c r="F8" s="86" t="s">
        <v>61</v>
      </c>
      <c r="G8" s="86" t="s">
        <v>65</v>
      </c>
      <c r="J8" s="86" t="s">
        <v>665</v>
      </c>
    </row>
    <row r="9" spans="1:12" x14ac:dyDescent="0.25">
      <c r="B9" s="87" t="s">
        <v>756</v>
      </c>
      <c r="F9" s="87" t="s">
        <v>63</v>
      </c>
      <c r="G9" s="87" t="s">
        <v>57</v>
      </c>
      <c r="J9" s="87" t="s">
        <v>757</v>
      </c>
    </row>
    <row r="10" spans="1:12" x14ac:dyDescent="0.25">
      <c r="F10" s="86" t="s">
        <v>64</v>
      </c>
      <c r="J10" s="86" t="s">
        <v>755</v>
      </c>
    </row>
    <row r="11" spans="1:12" x14ac:dyDescent="0.25">
      <c r="F11" s="8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Accueil</vt:lpstr>
      <vt:lpstr>Dashboard_Tracabilite</vt:lpstr>
      <vt:lpstr>Base_Articles</vt:lpstr>
      <vt:lpstr>Entrees</vt:lpstr>
      <vt:lpstr>Sorties</vt:lpstr>
      <vt:lpstr>Stock_TempsReel</vt:lpstr>
      <vt:lpstr>Equipements</vt:lpstr>
      <vt:lpstr>Projets</vt:lpstr>
      <vt:lpstr>Affectations</vt:lpstr>
      <vt:lpstr>Recherche_Materiel</vt:lpstr>
      <vt:lpstr>Alertes</vt:lpstr>
      <vt:lpstr>Alertes_Tracabilite</vt:lpstr>
      <vt:lpstr>Historique_Import_2026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N'DIA</cp:lastModifiedBy>
  <cp:revision>1</cp:revision>
  <dcterms:created xsi:type="dcterms:W3CDTF">2026-07-14T14:14:44Z</dcterms:created>
  <dcterms:modified xsi:type="dcterms:W3CDTF">2026-07-30T11:14:31Z</dcterms:modified>
  <dc:language>en-US</dc:language>
</cp:coreProperties>
</file>